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guyenthuyhien/Downloads/"/>
    </mc:Choice>
  </mc:AlternateContent>
  <xr:revisionPtr revIDLastSave="0" documentId="13_ncr:1_{23E02B32-E831-654D-96C6-F76D22BA5D13}" xr6:coauthVersionLast="47" xr6:coauthVersionMax="47" xr10:uidLastSave="{00000000-0000-0000-0000-000000000000}"/>
  <bookViews>
    <workbookView xWindow="0" yWindow="0" windowWidth="38400" windowHeight="21600" activeTab="1" xr2:uid="{00000000-000D-0000-FFFF-FFFF00000000}"/>
  </bookViews>
  <sheets>
    <sheet name="Data" sheetId="1" r:id="rId1"/>
    <sheet name="10% Strategy" sheetId="2" r:id="rId2"/>
    <sheet name="40% Strategy " sheetId="5" r:id="rId3"/>
  </sheets>
  <definedNames>
    <definedName name="solver_adj" localSheetId="1" hidden="1">'10% Strategy'!$C$30:$C$49,'10% Strategy'!$D$30:$D$49</definedName>
    <definedName name="solver_adj" localSheetId="2" hidden="1">'40% Strategy '!$C$30:$C$49,'40% Strategy '!$D$30:$D$49</definedName>
    <definedName name="solver_cvg" localSheetId="1" hidden="1">0.0001</definedName>
    <definedName name="solver_cvg" localSheetId="2" hidden="1">0.0001</definedName>
    <definedName name="solver_drv" localSheetId="1" hidden="1">1</definedName>
    <definedName name="solver_drv" localSheetId="2" hidden="1">1</definedName>
    <definedName name="solver_eng" localSheetId="1" hidden="1">2</definedName>
    <definedName name="solver_eng" localSheetId="2" hidden="1">2</definedName>
    <definedName name="solver_itr" localSheetId="1" hidden="1">2147483647</definedName>
    <definedName name="solver_itr" localSheetId="2" hidden="1">2147483647</definedName>
    <definedName name="solver_lhs1" localSheetId="1" hidden="1">'10% Strategy'!$C$59</definedName>
    <definedName name="solver_lhs1" localSheetId="2" hidden="1">'40% Strategy '!$C$59</definedName>
    <definedName name="solver_lhs2" localSheetId="1" hidden="1">'10% Strategy'!$C$60</definedName>
    <definedName name="solver_lhs2" localSheetId="2" hidden="1">'40% Strategy '!$C$60</definedName>
    <definedName name="solver_lhs3" localSheetId="1" hidden="1">'10% Strategy'!$D$30:$D$49</definedName>
    <definedName name="solver_lhs3" localSheetId="2" hidden="1">'40% Strategy '!$D$30:$D$49</definedName>
    <definedName name="solver_lhs4" localSheetId="1" hidden="1">'10% Strategy'!$E$64:$E$83</definedName>
    <definedName name="solver_lhs4" localSheetId="2" hidden="1">'40% Strategy '!$E$64:$E$83</definedName>
    <definedName name="solver_lin" localSheetId="1" hidden="1">1</definedName>
    <definedName name="solver_lin" localSheetId="2" hidden="1">1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1</definedName>
    <definedName name="solver_neg" localSheetId="2" hidden="1">1</definedName>
    <definedName name="solver_nod" localSheetId="1" hidden="1">2147483647</definedName>
    <definedName name="solver_nod" localSheetId="2" hidden="1">2147483647</definedName>
    <definedName name="solver_num" localSheetId="1" hidden="1">4</definedName>
    <definedName name="solver_num" localSheetId="2" hidden="1">4</definedName>
    <definedName name="solver_opt" localSheetId="1" hidden="1">'10% Strategy'!$C$54</definedName>
    <definedName name="solver_opt" localSheetId="2" hidden="1">'40% Strategy '!$C$54</definedName>
    <definedName name="solver_pre" localSheetId="1" hidden="1">0.000001</definedName>
    <definedName name="solver_pre" localSheetId="2" hidden="1">0.000001</definedName>
    <definedName name="solver_rbv" localSheetId="1" hidden="1">1</definedName>
    <definedName name="solver_rbv" localSheetId="2" hidden="1">1</definedName>
    <definedName name="solver_rel1" localSheetId="1" hidden="1">1</definedName>
    <definedName name="solver_rel1" localSheetId="2" hidden="1">1</definedName>
    <definedName name="solver_rel2" localSheetId="1" hidden="1">1</definedName>
    <definedName name="solver_rel2" localSheetId="2" hidden="1">1</definedName>
    <definedName name="solver_rel3" localSheetId="1" hidden="1">4</definedName>
    <definedName name="solver_rel3" localSheetId="2" hidden="1">4</definedName>
    <definedName name="solver_rel4" localSheetId="1" hidden="1">2</definedName>
    <definedName name="solver_rel4" localSheetId="2" hidden="1">2</definedName>
    <definedName name="solver_rhs1" localSheetId="1" hidden="1">'10% Strategy'!$E$59</definedName>
    <definedName name="solver_rhs1" localSheetId="2" hidden="1">'40% Strategy '!$E$59</definedName>
    <definedName name="solver_rhs2" localSheetId="1" hidden="1">'10% Strategy'!$E$60</definedName>
    <definedName name="solver_rhs2" localSheetId="2" hidden="1">'40% Strategy '!$E$60</definedName>
    <definedName name="solver_rhs3" localSheetId="1" hidden="1">"integer"</definedName>
    <definedName name="solver_rhs3" localSheetId="2" hidden="1">"integer"</definedName>
    <definedName name="solver_rhs4" localSheetId="1" hidden="1">'10% Strategy'!$G$64:$G$83</definedName>
    <definedName name="solver_rhs4" localSheetId="2" hidden="1">'40% Strategy '!$G$64:$G$83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1</definedName>
    <definedName name="solver_scl" localSheetId="2" hidden="1">1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1" hidden="1">2</definedName>
    <definedName name="solver_typ" localSheetId="2" hidden="1">2</definedName>
    <definedName name="solver_val" localSheetId="1" hidden="1">0</definedName>
    <definedName name="solver_val" localSheetId="2" hidden="1">0</definedName>
    <definedName name="solver_ver" localSheetId="1" hidden="1">2</definedName>
    <definedName name="solver_ver" localSheetId="2" hidden="1">2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4" i="5" l="1" a="1"/>
  <c r="I83" i="5" s="1"/>
  <c r="E40" i="5"/>
  <c r="E30" i="5"/>
  <c r="E25" i="5"/>
  <c r="E49" i="5" s="1"/>
  <c r="D25" i="5"/>
  <c r="F25" i="5" s="1"/>
  <c r="C25" i="5"/>
  <c r="C83" i="5" s="1"/>
  <c r="E24" i="5"/>
  <c r="E48" i="5" s="1"/>
  <c r="D24" i="5"/>
  <c r="F24" i="5" s="1"/>
  <c r="C24" i="5"/>
  <c r="E23" i="5"/>
  <c r="E47" i="5" s="1"/>
  <c r="D23" i="5"/>
  <c r="F23" i="5" s="1"/>
  <c r="C23" i="5"/>
  <c r="E22" i="5"/>
  <c r="E46" i="5" s="1"/>
  <c r="D22" i="5"/>
  <c r="F22" i="5" s="1"/>
  <c r="C22" i="5"/>
  <c r="C80" i="5" s="1"/>
  <c r="F21" i="5"/>
  <c r="E21" i="5"/>
  <c r="E45" i="5" s="1"/>
  <c r="D21" i="5"/>
  <c r="C21" i="5"/>
  <c r="E20" i="5"/>
  <c r="E44" i="5" s="1"/>
  <c r="D20" i="5"/>
  <c r="F20" i="5" s="1"/>
  <c r="C20" i="5"/>
  <c r="C78" i="5" s="1"/>
  <c r="E19" i="5"/>
  <c r="D19" i="5"/>
  <c r="D77" i="5" s="1"/>
  <c r="C19" i="5"/>
  <c r="E18" i="5"/>
  <c r="E42" i="5" s="1"/>
  <c r="D18" i="5"/>
  <c r="F18" i="5" s="1"/>
  <c r="C18" i="5"/>
  <c r="E17" i="5"/>
  <c r="E41" i="5" s="1"/>
  <c r="D17" i="5"/>
  <c r="C17" i="5"/>
  <c r="C75" i="5" s="1"/>
  <c r="F16" i="5"/>
  <c r="E16" i="5"/>
  <c r="D16" i="5"/>
  <c r="C16" i="5"/>
  <c r="E15" i="5"/>
  <c r="E39" i="5" s="1"/>
  <c r="D15" i="5"/>
  <c r="F15" i="5" s="1"/>
  <c r="C15" i="5"/>
  <c r="C73" i="5" s="1"/>
  <c r="F14" i="5"/>
  <c r="E14" i="5"/>
  <c r="D14" i="5"/>
  <c r="D72" i="5" s="1"/>
  <c r="C14" i="5"/>
  <c r="E13" i="5"/>
  <c r="E37" i="5" s="1"/>
  <c r="D13" i="5"/>
  <c r="F13" i="5" s="1"/>
  <c r="C13" i="5"/>
  <c r="E12" i="5"/>
  <c r="D12" i="5"/>
  <c r="C12" i="5"/>
  <c r="C70" i="5" s="1"/>
  <c r="F11" i="5"/>
  <c r="E11" i="5"/>
  <c r="E35" i="5" s="1"/>
  <c r="D11" i="5"/>
  <c r="C11" i="5"/>
  <c r="E10" i="5"/>
  <c r="E34" i="5" s="1"/>
  <c r="D10" i="5"/>
  <c r="F10" i="5" s="1"/>
  <c r="C10" i="5"/>
  <c r="C68" i="5" s="1"/>
  <c r="E9" i="5"/>
  <c r="E33" i="5" s="1"/>
  <c r="D9" i="5"/>
  <c r="D67" i="5" s="1"/>
  <c r="C9" i="5"/>
  <c r="E8" i="5"/>
  <c r="E32" i="5" s="1"/>
  <c r="D8" i="5"/>
  <c r="F8" i="5" s="1"/>
  <c r="C8" i="5"/>
  <c r="E7" i="5"/>
  <c r="D7" i="5"/>
  <c r="C7" i="5"/>
  <c r="C65" i="5" s="1"/>
  <c r="F6" i="5"/>
  <c r="E6" i="5"/>
  <c r="D6" i="5"/>
  <c r="C6" i="5"/>
  <c r="H64" i="2" a="1"/>
  <c r="H64" i="2"/>
  <c r="E8" i="2"/>
  <c r="E32" i="2" s="1"/>
  <c r="E9" i="2"/>
  <c r="E33" i="2" s="1"/>
  <c r="E10" i="2"/>
  <c r="E34" i="2" s="1"/>
  <c r="E11" i="2"/>
  <c r="E12" i="2"/>
  <c r="E13" i="2"/>
  <c r="E14" i="2"/>
  <c r="E15" i="2"/>
  <c r="E16" i="2"/>
  <c r="E40" i="2" s="1"/>
  <c r="E17" i="2"/>
  <c r="E41" i="2" s="1"/>
  <c r="E18" i="2"/>
  <c r="E42" i="2" s="1"/>
  <c r="E19" i="2"/>
  <c r="E43" i="2" s="1"/>
  <c r="E20" i="2"/>
  <c r="E21" i="2"/>
  <c r="E45" i="2" s="1"/>
  <c r="E22" i="2"/>
  <c r="E23" i="2"/>
  <c r="E24" i="2"/>
  <c r="E25" i="2"/>
  <c r="E7" i="2"/>
  <c r="E31" i="2" s="1"/>
  <c r="E6" i="2"/>
  <c r="E30" i="2" s="1"/>
  <c r="D8" i="2"/>
  <c r="F8" i="2" s="1"/>
  <c r="D9" i="2"/>
  <c r="F9" i="2" s="1"/>
  <c r="D10" i="2"/>
  <c r="D11" i="2"/>
  <c r="F11" i="2" s="1"/>
  <c r="D12" i="2"/>
  <c r="F12" i="2" s="1"/>
  <c r="D13" i="2"/>
  <c r="D14" i="2"/>
  <c r="D72" i="2" s="1"/>
  <c r="D15" i="2"/>
  <c r="D73" i="2" s="1"/>
  <c r="D16" i="2"/>
  <c r="F16" i="2" s="1"/>
  <c r="D17" i="2"/>
  <c r="F17" i="2" s="1"/>
  <c r="D18" i="2"/>
  <c r="F18" i="2" s="1"/>
  <c r="D19" i="2"/>
  <c r="F19" i="2" s="1"/>
  <c r="D20" i="2"/>
  <c r="F20" i="2" s="1"/>
  <c r="D21" i="2"/>
  <c r="D22" i="2"/>
  <c r="F22" i="2" s="1"/>
  <c r="D23" i="2"/>
  <c r="D24" i="2"/>
  <c r="D82" i="2" s="1"/>
  <c r="D25" i="2"/>
  <c r="D83" i="2" s="1"/>
  <c r="D7" i="2"/>
  <c r="F7" i="2" s="1"/>
  <c r="D6" i="2"/>
  <c r="F6" i="2" s="1"/>
  <c r="C8" i="2"/>
  <c r="C9" i="2"/>
  <c r="C10" i="2"/>
  <c r="C11" i="2"/>
  <c r="C12" i="2"/>
  <c r="C70" i="2" s="1"/>
  <c r="C13" i="2"/>
  <c r="C14" i="2"/>
  <c r="C15" i="2"/>
  <c r="C16" i="2"/>
  <c r="C17" i="2"/>
  <c r="C18" i="2"/>
  <c r="C19" i="2"/>
  <c r="C20" i="2"/>
  <c r="C21" i="2"/>
  <c r="C22" i="2"/>
  <c r="C80" i="2" s="1"/>
  <c r="C23" i="2"/>
  <c r="C24" i="2"/>
  <c r="C25" i="2"/>
  <c r="C7" i="2"/>
  <c r="C6" i="2"/>
  <c r="C64" i="2" s="1"/>
  <c r="D83" i="5"/>
  <c r="C82" i="5"/>
  <c r="C81" i="5"/>
  <c r="D79" i="5"/>
  <c r="C79" i="5"/>
  <c r="D78" i="5"/>
  <c r="C77" i="5"/>
  <c r="D76" i="5"/>
  <c r="C76" i="5"/>
  <c r="D74" i="5"/>
  <c r="C74" i="5"/>
  <c r="D73" i="5"/>
  <c r="C72" i="5"/>
  <c r="D71" i="5"/>
  <c r="C71" i="5"/>
  <c r="D69" i="5"/>
  <c r="C69" i="5"/>
  <c r="D68" i="5"/>
  <c r="C67" i="5"/>
  <c r="D66" i="5"/>
  <c r="C66" i="5"/>
  <c r="D64" i="5"/>
  <c r="C64" i="5"/>
  <c r="C60" i="5"/>
  <c r="F60" i="5" s="1"/>
  <c r="C59" i="5"/>
  <c r="F59" i="5" s="1"/>
  <c r="E37" i="2"/>
  <c r="E38" i="2"/>
  <c r="E39" i="2"/>
  <c r="E47" i="2"/>
  <c r="E48" i="2"/>
  <c r="E49" i="2"/>
  <c r="F13" i="2"/>
  <c r="F14" i="2"/>
  <c r="F15" i="2"/>
  <c r="F23" i="2"/>
  <c r="F24" i="2"/>
  <c r="F25" i="2"/>
  <c r="C59" i="2"/>
  <c r="F59" i="2" s="1"/>
  <c r="C60" i="2"/>
  <c r="F60" i="2" s="1"/>
  <c r="D65" i="2"/>
  <c r="D69" i="2"/>
  <c r="D70" i="2"/>
  <c r="D71" i="2"/>
  <c r="D78" i="2"/>
  <c r="D79" i="2"/>
  <c r="D81" i="2"/>
  <c r="C65" i="2"/>
  <c r="C66" i="2"/>
  <c r="C67" i="2"/>
  <c r="C68" i="2"/>
  <c r="C69" i="2"/>
  <c r="C71" i="2"/>
  <c r="C72" i="2"/>
  <c r="C73" i="2"/>
  <c r="C74" i="2"/>
  <c r="C75" i="2"/>
  <c r="C76" i="2"/>
  <c r="C77" i="2"/>
  <c r="C78" i="2"/>
  <c r="C79" i="2"/>
  <c r="C81" i="2"/>
  <c r="C82" i="2"/>
  <c r="C83" i="2"/>
  <c r="I64" i="2"/>
  <c r="E46" i="2" l="1"/>
  <c r="F9" i="5"/>
  <c r="E36" i="5"/>
  <c r="E36" i="2"/>
  <c r="F12" i="5"/>
  <c r="D70" i="5"/>
  <c r="E70" i="5" s="1"/>
  <c r="F19" i="5"/>
  <c r="F21" i="2"/>
  <c r="E35" i="2"/>
  <c r="E44" i="2"/>
  <c r="F10" i="2"/>
  <c r="D68" i="2"/>
  <c r="F7" i="5"/>
  <c r="D65" i="5"/>
  <c r="E31" i="5"/>
  <c r="E43" i="5"/>
  <c r="D80" i="2"/>
  <c r="E80" i="2" s="1"/>
  <c r="E38" i="5"/>
  <c r="F17" i="5"/>
  <c r="D75" i="5"/>
  <c r="E75" i="5" s="1"/>
  <c r="D77" i="2"/>
  <c r="D67" i="2"/>
  <c r="E67" i="2" s="1"/>
  <c r="D80" i="5"/>
  <c r="D76" i="2"/>
  <c r="E76" i="2" s="1"/>
  <c r="D66" i="2"/>
  <c r="E66" i="2" s="1"/>
  <c r="I70" i="5"/>
  <c r="D75" i="2"/>
  <c r="E75" i="2" s="1"/>
  <c r="D81" i="5"/>
  <c r="E81" i="5" s="1"/>
  <c r="D64" i="2"/>
  <c r="E64" i="2" s="1"/>
  <c r="D74" i="2"/>
  <c r="E74" i="2" s="1"/>
  <c r="E67" i="5"/>
  <c r="E72" i="5"/>
  <c r="E77" i="5"/>
  <c r="D82" i="5"/>
  <c r="E82" i="5" s="1"/>
  <c r="H64" i="5"/>
  <c r="I64" i="5" s="1"/>
  <c r="I73" i="5"/>
  <c r="I74" i="5"/>
  <c r="I65" i="5"/>
  <c r="I75" i="5"/>
  <c r="I66" i="5"/>
  <c r="I76" i="5"/>
  <c r="I67" i="5"/>
  <c r="I77" i="5"/>
  <c r="I68" i="5"/>
  <c r="I78" i="5"/>
  <c r="I69" i="5"/>
  <c r="I79" i="5"/>
  <c r="I80" i="5"/>
  <c r="I71" i="5"/>
  <c r="I81" i="5"/>
  <c r="I72" i="5"/>
  <c r="I82" i="5"/>
  <c r="E73" i="5"/>
  <c r="E68" i="5"/>
  <c r="E78" i="5"/>
  <c r="E74" i="5"/>
  <c r="E83" i="5"/>
  <c r="E80" i="5"/>
  <c r="E79" i="5"/>
  <c r="E71" i="5"/>
  <c r="E64" i="5"/>
  <c r="E66" i="5"/>
  <c r="E76" i="5"/>
  <c r="E65" i="5"/>
  <c r="E69" i="5"/>
  <c r="I79" i="2"/>
  <c r="I69" i="2"/>
  <c r="I80" i="2"/>
  <c r="I70" i="2"/>
  <c r="I75" i="2"/>
  <c r="I65" i="2"/>
  <c r="I74" i="2"/>
  <c r="I83" i="2"/>
  <c r="I73" i="2"/>
  <c r="I82" i="2"/>
  <c r="I72" i="2"/>
  <c r="I78" i="2"/>
  <c r="I68" i="2"/>
  <c r="I77" i="2"/>
  <c r="I67" i="2"/>
  <c r="I76" i="2"/>
  <c r="I66" i="2"/>
  <c r="I81" i="2"/>
  <c r="I71" i="2"/>
  <c r="E70" i="2"/>
  <c r="E68" i="2"/>
  <c r="E79" i="2"/>
  <c r="E69" i="2"/>
  <c r="E81" i="2"/>
  <c r="E78" i="2"/>
  <c r="E65" i="2"/>
  <c r="E77" i="2"/>
  <c r="E83" i="2"/>
  <c r="E82" i="2"/>
  <c r="E72" i="2"/>
  <c r="E73" i="2"/>
  <c r="E71" i="2"/>
  <c r="C54" i="5" l="1"/>
  <c r="C5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<sst xmlns="http://schemas.openxmlformats.org/spreadsheetml/2006/main" count="308" uniqueCount="76">
  <si>
    <t>IdNum</t>
  </si>
  <si>
    <t>WorkHrs</t>
  </si>
  <si>
    <t>Occup_n</t>
  </si>
  <si>
    <t>Age</t>
  </si>
  <si>
    <t>Educ_Yrs</t>
  </si>
  <si>
    <t>Sex</t>
  </si>
  <si>
    <t>MemUnion</t>
  </si>
  <si>
    <t>WrkYears</t>
  </si>
  <si>
    <t>EmpYears</t>
  </si>
  <si>
    <t>NumPromo</t>
  </si>
  <si>
    <t>FutPromo</t>
  </si>
  <si>
    <t>SexPromo</t>
  </si>
  <si>
    <t>AwareI4</t>
  </si>
  <si>
    <t>lessThan3</t>
  </si>
  <si>
    <t>7.Laborer</t>
  </si>
  <si>
    <t>Male</t>
  </si>
  <si>
    <t>No Union</t>
  </si>
  <si>
    <t>1.Better</t>
  </si>
  <si>
    <t>Yes</t>
  </si>
  <si>
    <t>1</t>
  </si>
  <si>
    <t>4.Admin</t>
  </si>
  <si>
    <t>Female</t>
  </si>
  <si>
    <t>No</t>
  </si>
  <si>
    <t>5.Service</t>
  </si>
  <si>
    <t>3.No Effect</t>
  </si>
  <si>
    <t>6.Prod'n</t>
  </si>
  <si>
    <t>1.V Likely</t>
  </si>
  <si>
    <t>1.Manag</t>
  </si>
  <si>
    <t>3.Tech/Sales</t>
  </si>
  <si>
    <t>Yes Union</t>
  </si>
  <si>
    <t>EMPLOYEE EFFECT</t>
  </si>
  <si>
    <t>ID Number</t>
  </si>
  <si>
    <t>Salary Increase Effect (per $1,000)</t>
  </si>
  <si>
    <t>Seminar Effect (per hour)</t>
  </si>
  <si>
    <t>DECISION VARIABLES</t>
  </si>
  <si>
    <t>Salary Increase (in $1,000)</t>
  </si>
  <si>
    <t>Seminar Hours</t>
  </si>
  <si>
    <t>Management</t>
  </si>
  <si>
    <t>Professional</t>
  </si>
  <si>
    <t>Tech/Sales</t>
  </si>
  <si>
    <t>OBJECTIVE</t>
  </si>
  <si>
    <t>Minimize cost</t>
  </si>
  <si>
    <t>Total Cost (in $1,000)</t>
  </si>
  <si>
    <t>CONSTRAINTS</t>
  </si>
  <si>
    <t>Global Constraints: Budget</t>
  </si>
  <si>
    <t>Budget</t>
  </si>
  <si>
    <t>Slack</t>
  </si>
  <si>
    <t>Total Seminar Hours</t>
  </si>
  <si>
    <t>&lt;=</t>
  </si>
  <si>
    <t>Total Salary Increase</t>
  </si>
  <si>
    <t>Individual Constraints: Department and Sex</t>
  </si>
  <si>
    <t>Salary Effect</t>
  </si>
  <si>
    <t>Seminar Effect</t>
  </si>
  <si>
    <t>Total Reduction</t>
  </si>
  <si>
    <t>Target Reduction</t>
  </si>
  <si>
    <t>=</t>
  </si>
  <si>
    <t>Admin</t>
  </si>
  <si>
    <t>Service</t>
  </si>
  <si>
    <t>Production</t>
  </si>
  <si>
    <t>Seminar</t>
  </si>
  <si>
    <t>Salary</t>
  </si>
  <si>
    <t xml:space="preserve">Probability </t>
  </si>
  <si>
    <t>Probability after reduction</t>
  </si>
  <si>
    <t>Cost per Hour (in $1000)</t>
  </si>
  <si>
    <t>Estimated cost of person per hour in seminar</t>
  </si>
  <si>
    <t>10% PROBABILITY REDUCTION STRATEGY</t>
  </si>
  <si>
    <t>Binding</t>
  </si>
  <si>
    <t>40% PROBABILITY REDUCTION STRATEGY</t>
  </si>
  <si>
    <t>Constraints: Budget</t>
  </si>
  <si>
    <t>Non-binding</t>
  </si>
  <si>
    <t>probability_B</t>
  </si>
  <si>
    <t>0</t>
  </si>
  <si>
    <t>2.Prof'nal</t>
  </si>
  <si>
    <t>2.Worse</t>
  </si>
  <si>
    <t>Cost/Seminar</t>
  </si>
  <si>
    <t>Laborer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</si>
</sst>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273540"/>
      <name val="Times New Roman"/>
      <family val="1"/>
    </font>
    <font>
      <b/>
      <sz val="16"/>
      <color theme="0"/>
      <name val="Calibri"/>
      <family val="2"/>
      <scheme val="minor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  <xf numFmtId="2" fontId="6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 wrapText="1"/>
    </xf>
    <xf numFmtId="2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  <xf numFmtId="2" fontId="0" fillId="0" borderId="2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2" fontId="0" fillId="0" borderId="0" xfId="0" applyNumberForma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64" fontId="0" fillId="0" borderId="4" xfId="0" applyNumberFormat="1" applyFill="1" applyBorder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2" fontId="0" fillId="0" borderId="3" xfId="0" applyNumberFormat="1" applyFill="1" applyBorder="1" applyAlignment="1">
      <alignment horizontal="center" vertical="center"/>
    </xf>
    <xf numFmtId="165" fontId="0" fillId="0" borderId="0" xfId="0" applyNumberFormat="1" applyFill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2" fontId="0" fillId="0" borderId="12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2" fontId="1" fillId="0" borderId="20" xfId="0" applyNumberFormat="1" applyFont="1" applyFill="1" applyBorder="1" applyAlignment="1">
      <alignment horizontal="center" vertical="center"/>
    </xf>
    <xf numFmtId="2" fontId="0" fillId="0" borderId="21" xfId="0" applyNumberFormat="1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2" fontId="1" fillId="0" borderId="22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2" fontId="2" fillId="2" borderId="19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2" fontId="1" fillId="3" borderId="20" xfId="0" applyNumberFormat="1" applyFont="1" applyFill="1" applyBorder="1" applyAlignment="1">
      <alignment horizontal="center" vertical="center"/>
    </xf>
    <xf numFmtId="2" fontId="1" fillId="3" borderId="2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"/>
  <sheetViews>
    <sheetView workbookViewId="0">
      <selection activeCell="B39" sqref="B39:D49"/>
    </sheetView>
  </sheetViews>
  <sheetFormatPr baseColWidth="10" defaultColWidth="10.5" defaultRowHeight="15" x14ac:dyDescent="0.2"/>
  <cols>
    <col min="1" max="1" width="10.5" style="2"/>
    <col min="2" max="2" width="16.6640625" style="2" customWidth="1"/>
    <col min="3" max="3" width="15" style="2" customWidth="1"/>
    <col min="4" max="4" width="17.5" style="2" customWidth="1"/>
    <col min="5" max="6" width="10.5" style="2"/>
    <col min="7" max="14" width="0" style="2" hidden="1" customWidth="1"/>
    <col min="15" max="15" width="22.5" style="2" customWidth="1"/>
    <col min="16" max="17" width="14.33203125" style="2" customWidth="1"/>
    <col min="18" max="16384" width="10.5" style="2"/>
  </cols>
  <sheetData>
    <row r="1" spans="1:18" s="1" customFormat="1" x14ac:dyDescent="0.2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 t="s">
        <v>8</v>
      </c>
      <c r="J1" s="69" t="s">
        <v>9</v>
      </c>
      <c r="K1" s="69" t="s">
        <v>10</v>
      </c>
      <c r="L1" s="69" t="s">
        <v>11</v>
      </c>
      <c r="M1" s="69" t="s">
        <v>12</v>
      </c>
      <c r="N1" s="69" t="s">
        <v>13</v>
      </c>
      <c r="O1" s="69" t="s">
        <v>70</v>
      </c>
      <c r="P1" s="69" t="s">
        <v>59</v>
      </c>
      <c r="Q1" s="70" t="s">
        <v>74</v>
      </c>
      <c r="R1" s="70" t="s">
        <v>60</v>
      </c>
    </row>
    <row r="2" spans="1:18" x14ac:dyDescent="0.2">
      <c r="A2" s="70">
        <v>234</v>
      </c>
      <c r="B2" s="70">
        <v>55</v>
      </c>
      <c r="C2" s="70" t="s">
        <v>14</v>
      </c>
      <c r="D2" s="70">
        <v>21</v>
      </c>
      <c r="E2" s="70">
        <v>12</v>
      </c>
      <c r="F2" s="70" t="s">
        <v>21</v>
      </c>
      <c r="G2" s="70" t="s">
        <v>29</v>
      </c>
      <c r="H2" s="70">
        <v>4</v>
      </c>
      <c r="I2" s="70">
        <v>2</v>
      </c>
      <c r="J2" s="70">
        <v>0</v>
      </c>
      <c r="K2" s="70" t="s">
        <v>26</v>
      </c>
      <c r="L2" s="70" t="s">
        <v>24</v>
      </c>
      <c r="M2" s="70" t="s">
        <v>22</v>
      </c>
      <c r="N2" s="70" t="s">
        <v>19</v>
      </c>
      <c r="O2" s="70">
        <v>0.89676022805322031</v>
      </c>
      <c r="P2" s="70">
        <v>0.03</v>
      </c>
      <c r="Q2" s="70">
        <v>1</v>
      </c>
      <c r="R2" s="70">
        <v>0.05</v>
      </c>
    </row>
    <row r="3" spans="1:18" x14ac:dyDescent="0.2">
      <c r="A3" s="70">
        <v>101</v>
      </c>
      <c r="B3" s="70">
        <v>50</v>
      </c>
      <c r="C3" s="70" t="s">
        <v>23</v>
      </c>
      <c r="D3" s="70">
        <v>25</v>
      </c>
      <c r="E3" s="70">
        <v>14</v>
      </c>
      <c r="F3" s="70" t="s">
        <v>15</v>
      </c>
      <c r="G3" s="70" t="s">
        <v>29</v>
      </c>
      <c r="H3" s="70">
        <v>8</v>
      </c>
      <c r="I3" s="70">
        <v>3</v>
      </c>
      <c r="J3" s="70">
        <v>0</v>
      </c>
      <c r="K3" s="70" t="s">
        <v>26</v>
      </c>
      <c r="L3" s="70" t="s">
        <v>24</v>
      </c>
      <c r="M3" s="70" t="s">
        <v>18</v>
      </c>
      <c r="N3" s="70" t="s">
        <v>71</v>
      </c>
      <c r="O3" s="70">
        <v>0.8669211199397262</v>
      </c>
      <c r="P3" s="70">
        <v>0.02</v>
      </c>
      <c r="Q3" s="70">
        <v>1.3</v>
      </c>
      <c r="R3" s="70">
        <v>7.0000000000000007E-2</v>
      </c>
    </row>
    <row r="4" spans="1:18" x14ac:dyDescent="0.2">
      <c r="A4" s="70">
        <v>126</v>
      </c>
      <c r="B4" s="70">
        <v>40</v>
      </c>
      <c r="C4" s="70" t="s">
        <v>23</v>
      </c>
      <c r="D4" s="70">
        <v>26</v>
      </c>
      <c r="E4" s="70">
        <v>12</v>
      </c>
      <c r="F4" s="70" t="s">
        <v>15</v>
      </c>
      <c r="G4" s="70" t="s">
        <v>16</v>
      </c>
      <c r="H4" s="70">
        <v>8</v>
      </c>
      <c r="I4" s="70">
        <v>1</v>
      </c>
      <c r="J4" s="70">
        <v>0</v>
      </c>
      <c r="K4" s="70" t="s">
        <v>26</v>
      </c>
      <c r="L4" s="70" t="s">
        <v>24</v>
      </c>
      <c r="M4" s="70" t="s">
        <v>22</v>
      </c>
      <c r="N4" s="70" t="s">
        <v>19</v>
      </c>
      <c r="O4" s="70">
        <v>0.86346265489598895</v>
      </c>
      <c r="P4" s="70">
        <v>0.02</v>
      </c>
      <c r="Q4" s="70">
        <v>1.3</v>
      </c>
      <c r="R4" s="70">
        <v>7.0000000000000007E-2</v>
      </c>
    </row>
    <row r="5" spans="1:18" x14ac:dyDescent="0.2">
      <c r="A5" s="70">
        <v>56</v>
      </c>
      <c r="B5" s="70">
        <v>40</v>
      </c>
      <c r="C5" s="70" t="s">
        <v>27</v>
      </c>
      <c r="D5" s="70">
        <v>25</v>
      </c>
      <c r="E5" s="70">
        <v>16</v>
      </c>
      <c r="F5" s="70" t="s">
        <v>15</v>
      </c>
      <c r="G5" s="70" t="s">
        <v>16</v>
      </c>
      <c r="H5" s="70">
        <v>2</v>
      </c>
      <c r="I5" s="70">
        <v>2</v>
      </c>
      <c r="J5" s="70">
        <v>0</v>
      </c>
      <c r="K5" s="70" t="s">
        <v>26</v>
      </c>
      <c r="L5" s="70" t="s">
        <v>17</v>
      </c>
      <c r="M5" s="70" t="s">
        <v>18</v>
      </c>
      <c r="N5" s="70" t="s">
        <v>19</v>
      </c>
      <c r="O5" s="70">
        <v>0.82054187135508228</v>
      </c>
      <c r="P5" s="70">
        <v>0.02</v>
      </c>
      <c r="Q5" s="70">
        <v>0.6</v>
      </c>
      <c r="R5" s="70">
        <v>7.0000000000000007E-2</v>
      </c>
    </row>
    <row r="6" spans="1:18" x14ac:dyDescent="0.2">
      <c r="A6" s="70">
        <v>337</v>
      </c>
      <c r="B6" s="70">
        <v>40</v>
      </c>
      <c r="C6" s="70" t="s">
        <v>25</v>
      </c>
      <c r="D6" s="70">
        <v>32</v>
      </c>
      <c r="E6" s="70">
        <v>14</v>
      </c>
      <c r="F6" s="70" t="s">
        <v>15</v>
      </c>
      <c r="G6" s="70" t="s">
        <v>29</v>
      </c>
      <c r="H6" s="70">
        <v>16</v>
      </c>
      <c r="I6" s="70">
        <v>1</v>
      </c>
      <c r="J6" s="70">
        <v>0</v>
      </c>
      <c r="K6" s="70" t="s">
        <v>26</v>
      </c>
      <c r="L6" s="70" t="s">
        <v>24</v>
      </c>
      <c r="M6" s="70" t="s">
        <v>18</v>
      </c>
      <c r="N6" s="70" t="s">
        <v>19</v>
      </c>
      <c r="O6" s="70">
        <v>0.79054317390879014</v>
      </c>
      <c r="P6" s="70">
        <v>0.03</v>
      </c>
      <c r="Q6" s="70">
        <v>1.2</v>
      </c>
      <c r="R6" s="70">
        <v>7.0000000000000007E-2</v>
      </c>
    </row>
    <row r="7" spans="1:18" x14ac:dyDescent="0.2">
      <c r="A7" s="70">
        <v>376</v>
      </c>
      <c r="B7" s="70">
        <v>50</v>
      </c>
      <c r="C7" s="70" t="s">
        <v>72</v>
      </c>
      <c r="D7" s="70">
        <v>27</v>
      </c>
      <c r="E7" s="70">
        <v>17</v>
      </c>
      <c r="F7" s="70" t="s">
        <v>21</v>
      </c>
      <c r="G7" s="70" t="s">
        <v>16</v>
      </c>
      <c r="H7" s="70">
        <v>7</v>
      </c>
      <c r="I7" s="70">
        <v>1</v>
      </c>
      <c r="J7" s="70">
        <v>0</v>
      </c>
      <c r="K7" s="70" t="s">
        <v>26</v>
      </c>
      <c r="L7" s="70" t="s">
        <v>73</v>
      </c>
      <c r="M7" s="70" t="s">
        <v>18</v>
      </c>
      <c r="N7" s="70" t="s">
        <v>19</v>
      </c>
      <c r="O7" s="70">
        <v>0.7861023673291524</v>
      </c>
      <c r="P7" s="70">
        <v>0.01</v>
      </c>
      <c r="Q7" s="70">
        <v>0.9</v>
      </c>
      <c r="R7" s="70">
        <v>0.05</v>
      </c>
    </row>
    <row r="8" spans="1:18" x14ac:dyDescent="0.2">
      <c r="A8" s="70">
        <v>354</v>
      </c>
      <c r="B8" s="70">
        <v>56</v>
      </c>
      <c r="C8" s="70" t="s">
        <v>72</v>
      </c>
      <c r="D8" s="70">
        <v>24</v>
      </c>
      <c r="E8" s="70">
        <v>16</v>
      </c>
      <c r="F8" s="70" t="s">
        <v>21</v>
      </c>
      <c r="G8" s="70" t="s">
        <v>16</v>
      </c>
      <c r="H8" s="70">
        <v>9</v>
      </c>
      <c r="I8" s="70">
        <v>2</v>
      </c>
      <c r="J8" s="70">
        <v>0</v>
      </c>
      <c r="K8" s="70" t="s">
        <v>26</v>
      </c>
      <c r="L8" s="70" t="s">
        <v>17</v>
      </c>
      <c r="M8" s="70" t="s">
        <v>18</v>
      </c>
      <c r="N8" s="70" t="s">
        <v>19</v>
      </c>
      <c r="O8" s="70">
        <v>0.77794420679527143</v>
      </c>
      <c r="P8" s="70">
        <v>0.01</v>
      </c>
      <c r="Q8" s="70">
        <v>0.9</v>
      </c>
      <c r="R8" s="70">
        <v>0.05</v>
      </c>
    </row>
    <row r="9" spans="1:18" x14ac:dyDescent="0.2">
      <c r="A9" s="70">
        <v>111</v>
      </c>
      <c r="B9" s="70">
        <v>60</v>
      </c>
      <c r="C9" s="70" t="s">
        <v>28</v>
      </c>
      <c r="D9" s="70">
        <v>23</v>
      </c>
      <c r="E9" s="70">
        <v>16</v>
      </c>
      <c r="F9" s="70" t="s">
        <v>15</v>
      </c>
      <c r="G9" s="70" t="s">
        <v>16</v>
      </c>
      <c r="H9" s="70">
        <v>6</v>
      </c>
      <c r="I9" s="70">
        <v>1</v>
      </c>
      <c r="J9" s="70">
        <v>1</v>
      </c>
      <c r="K9" s="70" t="s">
        <v>26</v>
      </c>
      <c r="L9" s="70" t="s">
        <v>24</v>
      </c>
      <c r="M9" s="70" t="s">
        <v>22</v>
      </c>
      <c r="N9" s="70" t="s">
        <v>19</v>
      </c>
      <c r="O9" s="70">
        <v>0.77162652386222019</v>
      </c>
      <c r="P9" s="70">
        <v>0.01</v>
      </c>
      <c r="Q9" s="70">
        <v>1.3</v>
      </c>
      <c r="R9" s="70">
        <v>7.0000000000000007E-2</v>
      </c>
    </row>
    <row r="10" spans="1:18" x14ac:dyDescent="0.2">
      <c r="A10" s="70">
        <v>145</v>
      </c>
      <c r="B10" s="70">
        <v>42</v>
      </c>
      <c r="C10" s="70" t="s">
        <v>28</v>
      </c>
      <c r="D10" s="70">
        <v>36</v>
      </c>
      <c r="E10" s="70">
        <v>18</v>
      </c>
      <c r="F10" s="70" t="s">
        <v>21</v>
      </c>
      <c r="G10" s="70" t="s">
        <v>16</v>
      </c>
      <c r="H10" s="70">
        <v>19</v>
      </c>
      <c r="I10" s="70">
        <v>1</v>
      </c>
      <c r="J10" s="70">
        <v>0</v>
      </c>
      <c r="K10" s="70" t="s">
        <v>26</v>
      </c>
      <c r="L10" s="70" t="s">
        <v>24</v>
      </c>
      <c r="M10" s="70" t="s">
        <v>18</v>
      </c>
      <c r="N10" s="70" t="s">
        <v>19</v>
      </c>
      <c r="O10" s="70">
        <v>0.74701458253902309</v>
      </c>
      <c r="P10" s="70">
        <v>0.01</v>
      </c>
      <c r="Q10" s="70">
        <v>1.3</v>
      </c>
      <c r="R10" s="70">
        <v>0.05</v>
      </c>
    </row>
    <row r="11" spans="1:18" x14ac:dyDescent="0.2">
      <c r="A11" s="70">
        <v>437</v>
      </c>
      <c r="B11" s="70">
        <v>42</v>
      </c>
      <c r="C11" s="70" t="s">
        <v>28</v>
      </c>
      <c r="D11" s="70">
        <v>36</v>
      </c>
      <c r="E11" s="70">
        <v>18</v>
      </c>
      <c r="F11" s="70" t="s">
        <v>21</v>
      </c>
      <c r="G11" s="70" t="s">
        <v>16</v>
      </c>
      <c r="H11" s="70">
        <v>19</v>
      </c>
      <c r="I11" s="70">
        <v>1</v>
      </c>
      <c r="J11" s="70">
        <v>0</v>
      </c>
      <c r="K11" s="70" t="s">
        <v>26</v>
      </c>
      <c r="L11" s="70" t="s">
        <v>24</v>
      </c>
      <c r="M11" s="70" t="s">
        <v>18</v>
      </c>
      <c r="N11" s="70" t="s">
        <v>19</v>
      </c>
      <c r="O11" s="70">
        <v>0.74701458253902309</v>
      </c>
      <c r="P11" s="70">
        <v>0.01</v>
      </c>
      <c r="Q11" s="70">
        <v>1.3</v>
      </c>
      <c r="R11" s="70">
        <v>0.05</v>
      </c>
    </row>
    <row r="12" spans="1:18" x14ac:dyDescent="0.2">
      <c r="A12" s="70">
        <v>569</v>
      </c>
      <c r="B12" s="70">
        <v>42</v>
      </c>
      <c r="C12" s="70" t="s">
        <v>28</v>
      </c>
      <c r="D12" s="70">
        <v>36</v>
      </c>
      <c r="E12" s="70">
        <v>18</v>
      </c>
      <c r="F12" s="70" t="s">
        <v>21</v>
      </c>
      <c r="G12" s="70" t="s">
        <v>16</v>
      </c>
      <c r="H12" s="70">
        <v>19</v>
      </c>
      <c r="I12" s="70">
        <v>1</v>
      </c>
      <c r="J12" s="70">
        <v>0</v>
      </c>
      <c r="K12" s="70" t="s">
        <v>26</v>
      </c>
      <c r="L12" s="70" t="s">
        <v>24</v>
      </c>
      <c r="M12" s="70" t="s">
        <v>18</v>
      </c>
      <c r="N12" s="70" t="s">
        <v>19</v>
      </c>
      <c r="O12" s="70">
        <v>0.74701458253902309</v>
      </c>
      <c r="P12" s="70">
        <v>0.01</v>
      </c>
      <c r="Q12" s="70">
        <v>1.3</v>
      </c>
      <c r="R12" s="70">
        <v>0.05</v>
      </c>
    </row>
    <row r="13" spans="1:18" x14ac:dyDescent="0.2">
      <c r="A13" s="70">
        <v>612</v>
      </c>
      <c r="B13" s="70">
        <v>42</v>
      </c>
      <c r="C13" s="70" t="s">
        <v>28</v>
      </c>
      <c r="D13" s="70">
        <v>36</v>
      </c>
      <c r="E13" s="70">
        <v>18</v>
      </c>
      <c r="F13" s="70" t="s">
        <v>21</v>
      </c>
      <c r="G13" s="70" t="s">
        <v>16</v>
      </c>
      <c r="H13" s="70">
        <v>19</v>
      </c>
      <c r="I13" s="70">
        <v>1</v>
      </c>
      <c r="J13" s="70">
        <v>0</v>
      </c>
      <c r="K13" s="70" t="s">
        <v>26</v>
      </c>
      <c r="L13" s="70" t="s">
        <v>24</v>
      </c>
      <c r="M13" s="70" t="s">
        <v>18</v>
      </c>
      <c r="N13" s="70" t="s">
        <v>19</v>
      </c>
      <c r="O13" s="70">
        <v>0.74701458253902309</v>
      </c>
      <c r="P13" s="70">
        <v>0.01</v>
      </c>
      <c r="Q13" s="70">
        <v>1.3</v>
      </c>
      <c r="R13" s="70">
        <v>0.05</v>
      </c>
    </row>
    <row r="14" spans="1:18" x14ac:dyDescent="0.2">
      <c r="A14" s="70">
        <v>669</v>
      </c>
      <c r="B14" s="70">
        <v>42</v>
      </c>
      <c r="C14" s="70" t="s">
        <v>28</v>
      </c>
      <c r="D14" s="70">
        <v>36</v>
      </c>
      <c r="E14" s="70">
        <v>18</v>
      </c>
      <c r="F14" s="70" t="s">
        <v>21</v>
      </c>
      <c r="G14" s="70" t="s">
        <v>16</v>
      </c>
      <c r="H14" s="70">
        <v>19</v>
      </c>
      <c r="I14" s="70">
        <v>1</v>
      </c>
      <c r="J14" s="70">
        <v>0</v>
      </c>
      <c r="K14" s="70" t="s">
        <v>26</v>
      </c>
      <c r="L14" s="70" t="s">
        <v>24</v>
      </c>
      <c r="M14" s="70" t="s">
        <v>18</v>
      </c>
      <c r="N14" s="70" t="s">
        <v>19</v>
      </c>
      <c r="O14" s="70">
        <v>0.74701458253902309</v>
      </c>
      <c r="P14" s="70">
        <v>0.01</v>
      </c>
      <c r="Q14" s="70">
        <v>1.3</v>
      </c>
      <c r="R14" s="70">
        <v>0.05</v>
      </c>
    </row>
    <row r="15" spans="1:18" x14ac:dyDescent="0.2">
      <c r="A15" s="70">
        <v>717</v>
      </c>
      <c r="B15" s="70">
        <v>42</v>
      </c>
      <c r="C15" s="70" t="s">
        <v>28</v>
      </c>
      <c r="D15" s="70">
        <v>36</v>
      </c>
      <c r="E15" s="70">
        <v>18</v>
      </c>
      <c r="F15" s="70" t="s">
        <v>21</v>
      </c>
      <c r="G15" s="70" t="s">
        <v>16</v>
      </c>
      <c r="H15" s="70">
        <v>19</v>
      </c>
      <c r="I15" s="70">
        <v>1</v>
      </c>
      <c r="J15" s="70">
        <v>0</v>
      </c>
      <c r="K15" s="70" t="s">
        <v>26</v>
      </c>
      <c r="L15" s="70" t="s">
        <v>24</v>
      </c>
      <c r="M15" s="70" t="s">
        <v>18</v>
      </c>
      <c r="N15" s="70" t="s">
        <v>19</v>
      </c>
      <c r="O15" s="70">
        <v>0.74701458253902309</v>
      </c>
      <c r="P15" s="70">
        <v>0.01</v>
      </c>
      <c r="Q15" s="70">
        <v>1.3</v>
      </c>
      <c r="R15" s="70">
        <v>0.05</v>
      </c>
    </row>
    <row r="16" spans="1:18" x14ac:dyDescent="0.2">
      <c r="A16" s="70">
        <v>127</v>
      </c>
      <c r="B16" s="70">
        <v>40</v>
      </c>
      <c r="C16" s="70" t="s">
        <v>20</v>
      </c>
      <c r="D16" s="70">
        <v>42</v>
      </c>
      <c r="E16" s="70">
        <v>12</v>
      </c>
      <c r="F16" s="70" t="s">
        <v>21</v>
      </c>
      <c r="G16" s="70" t="s">
        <v>16</v>
      </c>
      <c r="H16" s="70">
        <v>15</v>
      </c>
      <c r="I16" s="70">
        <v>7.08</v>
      </c>
      <c r="J16" s="70">
        <v>0</v>
      </c>
      <c r="K16" s="70" t="s">
        <v>26</v>
      </c>
      <c r="L16" s="70" t="s">
        <v>24</v>
      </c>
      <c r="M16" s="70" t="s">
        <v>18</v>
      </c>
      <c r="N16" s="70" t="s">
        <v>71</v>
      </c>
      <c r="O16" s="70">
        <v>0.74534670539767267</v>
      </c>
      <c r="P16" s="70">
        <v>0.03</v>
      </c>
      <c r="Q16" s="70">
        <v>1</v>
      </c>
      <c r="R16" s="70">
        <v>0.05</v>
      </c>
    </row>
    <row r="17" spans="1:18" x14ac:dyDescent="0.2">
      <c r="A17" s="70">
        <v>144</v>
      </c>
      <c r="B17" s="70">
        <v>38</v>
      </c>
      <c r="C17" s="70" t="s">
        <v>14</v>
      </c>
      <c r="D17" s="70">
        <v>26</v>
      </c>
      <c r="E17" s="70">
        <v>15</v>
      </c>
      <c r="F17" s="70" t="s">
        <v>15</v>
      </c>
      <c r="G17" s="70" t="s">
        <v>16</v>
      </c>
      <c r="H17" s="70">
        <v>9</v>
      </c>
      <c r="I17" s="70">
        <v>0.5</v>
      </c>
      <c r="J17" s="70">
        <v>1</v>
      </c>
      <c r="K17" s="70" t="s">
        <v>26</v>
      </c>
      <c r="L17" s="70" t="s">
        <v>24</v>
      </c>
      <c r="M17" s="70" t="s">
        <v>22</v>
      </c>
      <c r="N17" s="70" t="s">
        <v>19</v>
      </c>
      <c r="O17" s="70">
        <v>0.73139701236625076</v>
      </c>
      <c r="P17" s="70">
        <v>0.03</v>
      </c>
      <c r="Q17" s="70">
        <v>1</v>
      </c>
      <c r="R17" s="70">
        <v>7.0000000000000007E-2</v>
      </c>
    </row>
    <row r="18" spans="1:18" x14ac:dyDescent="0.2">
      <c r="A18" s="70">
        <v>436</v>
      </c>
      <c r="B18" s="70">
        <v>38</v>
      </c>
      <c r="C18" s="70" t="s">
        <v>14</v>
      </c>
      <c r="D18" s="70">
        <v>26</v>
      </c>
      <c r="E18" s="70">
        <v>15</v>
      </c>
      <c r="F18" s="70" t="s">
        <v>15</v>
      </c>
      <c r="G18" s="70" t="s">
        <v>16</v>
      </c>
      <c r="H18" s="70">
        <v>9</v>
      </c>
      <c r="I18" s="70">
        <v>0.5</v>
      </c>
      <c r="J18" s="70">
        <v>1</v>
      </c>
      <c r="K18" s="70" t="s">
        <v>26</v>
      </c>
      <c r="L18" s="70" t="s">
        <v>24</v>
      </c>
      <c r="M18" s="70" t="s">
        <v>22</v>
      </c>
      <c r="N18" s="70" t="s">
        <v>19</v>
      </c>
      <c r="O18" s="70">
        <v>0.73139701236625076</v>
      </c>
      <c r="P18" s="70">
        <v>0.03</v>
      </c>
      <c r="Q18" s="70">
        <v>1</v>
      </c>
      <c r="R18" s="70">
        <v>7.0000000000000007E-2</v>
      </c>
    </row>
    <row r="19" spans="1:18" x14ac:dyDescent="0.2">
      <c r="A19" s="70">
        <v>568</v>
      </c>
      <c r="B19" s="70">
        <v>38</v>
      </c>
      <c r="C19" s="70" t="s">
        <v>14</v>
      </c>
      <c r="D19" s="70">
        <v>26</v>
      </c>
      <c r="E19" s="70">
        <v>15</v>
      </c>
      <c r="F19" s="70" t="s">
        <v>15</v>
      </c>
      <c r="G19" s="70" t="s">
        <v>16</v>
      </c>
      <c r="H19" s="70">
        <v>9</v>
      </c>
      <c r="I19" s="70">
        <v>0.5</v>
      </c>
      <c r="J19" s="70">
        <v>1</v>
      </c>
      <c r="K19" s="70" t="s">
        <v>26</v>
      </c>
      <c r="L19" s="70" t="s">
        <v>24</v>
      </c>
      <c r="M19" s="70" t="s">
        <v>22</v>
      </c>
      <c r="N19" s="70" t="s">
        <v>19</v>
      </c>
      <c r="O19" s="70">
        <v>0.73139701236625076</v>
      </c>
      <c r="P19" s="70">
        <v>0.03</v>
      </c>
      <c r="Q19" s="70">
        <v>1</v>
      </c>
      <c r="R19" s="70">
        <v>7.0000000000000007E-2</v>
      </c>
    </row>
    <row r="20" spans="1:18" x14ac:dyDescent="0.2">
      <c r="A20" s="70">
        <v>611</v>
      </c>
      <c r="B20" s="70">
        <v>38</v>
      </c>
      <c r="C20" s="70" t="s">
        <v>14</v>
      </c>
      <c r="D20" s="70">
        <v>26</v>
      </c>
      <c r="E20" s="70">
        <v>15</v>
      </c>
      <c r="F20" s="70" t="s">
        <v>15</v>
      </c>
      <c r="G20" s="70" t="s">
        <v>16</v>
      </c>
      <c r="H20" s="70">
        <v>9</v>
      </c>
      <c r="I20" s="70">
        <v>0.5</v>
      </c>
      <c r="J20" s="70">
        <v>1</v>
      </c>
      <c r="K20" s="70" t="s">
        <v>26</v>
      </c>
      <c r="L20" s="70" t="s">
        <v>24</v>
      </c>
      <c r="M20" s="70" t="s">
        <v>22</v>
      </c>
      <c r="N20" s="70" t="s">
        <v>19</v>
      </c>
      <c r="O20" s="70">
        <v>0.73139701236625076</v>
      </c>
      <c r="P20" s="70">
        <v>0.03</v>
      </c>
      <c r="Q20" s="70">
        <v>1</v>
      </c>
      <c r="R20" s="70">
        <v>7.0000000000000007E-2</v>
      </c>
    </row>
    <row r="21" spans="1:18" x14ac:dyDescent="0.2">
      <c r="A21" s="70">
        <v>668</v>
      </c>
      <c r="B21" s="70">
        <v>38</v>
      </c>
      <c r="C21" s="70" t="s">
        <v>14</v>
      </c>
      <c r="D21" s="70">
        <v>26</v>
      </c>
      <c r="E21" s="70">
        <v>15</v>
      </c>
      <c r="F21" s="70" t="s">
        <v>15</v>
      </c>
      <c r="G21" s="70" t="s">
        <v>16</v>
      </c>
      <c r="H21" s="70">
        <v>9</v>
      </c>
      <c r="I21" s="70">
        <v>0.5</v>
      </c>
      <c r="J21" s="70">
        <v>1</v>
      </c>
      <c r="K21" s="70" t="s">
        <v>26</v>
      </c>
      <c r="L21" s="70" t="s">
        <v>24</v>
      </c>
      <c r="M21" s="70" t="s">
        <v>22</v>
      </c>
      <c r="N21" s="70" t="s">
        <v>19</v>
      </c>
      <c r="O21" s="70">
        <v>0.73139701236625076</v>
      </c>
      <c r="P21" s="70">
        <v>0.03</v>
      </c>
      <c r="Q21" s="70">
        <v>1</v>
      </c>
      <c r="R21" s="70">
        <v>7.0000000000000007E-2</v>
      </c>
    </row>
    <row r="28" spans="1:18" ht="16" thickBot="1" x14ac:dyDescent="0.25"/>
    <row r="29" spans="1:18" x14ac:dyDescent="0.2">
      <c r="A29" s="76" t="s">
        <v>0</v>
      </c>
      <c r="B29" s="77" t="s">
        <v>2</v>
      </c>
      <c r="C29" s="77" t="s">
        <v>5</v>
      </c>
      <c r="D29" s="78" t="s">
        <v>70</v>
      </c>
    </row>
    <row r="30" spans="1:18" x14ac:dyDescent="0.2">
      <c r="A30" s="74">
        <v>234</v>
      </c>
      <c r="B30" s="79" t="s">
        <v>75</v>
      </c>
      <c r="C30" s="79" t="s">
        <v>21</v>
      </c>
      <c r="D30" s="80">
        <v>0.89676022805322031</v>
      </c>
    </row>
    <row r="31" spans="1:18" x14ac:dyDescent="0.2">
      <c r="A31" s="74">
        <v>101</v>
      </c>
      <c r="B31" s="79" t="s">
        <v>57</v>
      </c>
      <c r="C31" s="79" t="s">
        <v>15</v>
      </c>
      <c r="D31" s="80">
        <v>0.8669211199397262</v>
      </c>
    </row>
    <row r="32" spans="1:18" x14ac:dyDescent="0.2">
      <c r="A32" s="74">
        <v>126</v>
      </c>
      <c r="B32" s="79" t="s">
        <v>57</v>
      </c>
      <c r="C32" s="79" t="s">
        <v>15</v>
      </c>
      <c r="D32" s="80">
        <v>0.86346265489598895</v>
      </c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70"/>
      <c r="R32" s="70"/>
    </row>
    <row r="33" spans="1:18" x14ac:dyDescent="0.2">
      <c r="A33" s="74">
        <v>56</v>
      </c>
      <c r="B33" s="79" t="s">
        <v>37</v>
      </c>
      <c r="C33" s="79" t="s">
        <v>15</v>
      </c>
      <c r="D33" s="80">
        <v>0.82054187135508228</v>
      </c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</row>
    <row r="34" spans="1:18" x14ac:dyDescent="0.2">
      <c r="A34" s="74">
        <v>337</v>
      </c>
      <c r="B34" s="79" t="s">
        <v>58</v>
      </c>
      <c r="C34" s="79" t="s">
        <v>15</v>
      </c>
      <c r="D34" s="80">
        <v>0.79054317390879014</v>
      </c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</row>
    <row r="35" spans="1:18" x14ac:dyDescent="0.2">
      <c r="A35" s="74">
        <v>376</v>
      </c>
      <c r="B35" s="79" t="s">
        <v>38</v>
      </c>
      <c r="C35" s="79" t="s">
        <v>21</v>
      </c>
      <c r="D35" s="80">
        <v>0.7861023673291524</v>
      </c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</row>
    <row r="36" spans="1:18" x14ac:dyDescent="0.2">
      <c r="A36" s="74">
        <v>354</v>
      </c>
      <c r="B36" s="79" t="s">
        <v>38</v>
      </c>
      <c r="C36" s="79" t="s">
        <v>21</v>
      </c>
      <c r="D36" s="80">
        <v>0.77794420679527143</v>
      </c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</row>
    <row r="37" spans="1:18" x14ac:dyDescent="0.2">
      <c r="A37" s="74">
        <v>111</v>
      </c>
      <c r="B37" s="79" t="s">
        <v>39</v>
      </c>
      <c r="C37" s="79" t="s">
        <v>15</v>
      </c>
      <c r="D37" s="80">
        <v>0.77162652386222019</v>
      </c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</row>
    <row r="38" spans="1:18" x14ac:dyDescent="0.2">
      <c r="A38" s="74">
        <v>145</v>
      </c>
      <c r="B38" s="79" t="s">
        <v>39</v>
      </c>
      <c r="C38" s="79" t="s">
        <v>21</v>
      </c>
      <c r="D38" s="80">
        <v>0.74701458253902309</v>
      </c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</row>
    <row r="39" spans="1:18" x14ac:dyDescent="0.2">
      <c r="A39" s="74">
        <v>437</v>
      </c>
      <c r="B39" s="79" t="s">
        <v>39</v>
      </c>
      <c r="C39" s="79" t="s">
        <v>21</v>
      </c>
      <c r="D39" s="80">
        <v>0.74701458253902309</v>
      </c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</row>
    <row r="40" spans="1:18" x14ac:dyDescent="0.2">
      <c r="A40" s="74">
        <v>569</v>
      </c>
      <c r="B40" s="79" t="s">
        <v>39</v>
      </c>
      <c r="C40" s="79" t="s">
        <v>21</v>
      </c>
      <c r="D40" s="80">
        <v>0.74701458253902309</v>
      </c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</row>
    <row r="41" spans="1:18" x14ac:dyDescent="0.2">
      <c r="A41" s="74">
        <v>612</v>
      </c>
      <c r="B41" s="79" t="s">
        <v>39</v>
      </c>
      <c r="C41" s="79" t="s">
        <v>21</v>
      </c>
      <c r="D41" s="80">
        <v>0.74701458253902309</v>
      </c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</row>
    <row r="42" spans="1:18" x14ac:dyDescent="0.2">
      <c r="A42" s="74">
        <v>669</v>
      </c>
      <c r="B42" s="79" t="s">
        <v>39</v>
      </c>
      <c r="C42" s="79" t="s">
        <v>21</v>
      </c>
      <c r="D42" s="80">
        <v>0.74701458253902309</v>
      </c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</row>
    <row r="43" spans="1:18" x14ac:dyDescent="0.2">
      <c r="A43" s="74">
        <v>717</v>
      </c>
      <c r="B43" s="79" t="s">
        <v>39</v>
      </c>
      <c r="C43" s="79" t="s">
        <v>21</v>
      </c>
      <c r="D43" s="80">
        <v>0.74701458253902309</v>
      </c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</row>
    <row r="44" spans="1:18" x14ac:dyDescent="0.2">
      <c r="A44" s="74">
        <v>127</v>
      </c>
      <c r="B44" s="79" t="s">
        <v>56</v>
      </c>
      <c r="C44" s="79" t="s">
        <v>21</v>
      </c>
      <c r="D44" s="80">
        <v>0.74534670539767267</v>
      </c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</row>
    <row r="45" spans="1:18" x14ac:dyDescent="0.2">
      <c r="A45" s="74">
        <v>144</v>
      </c>
      <c r="B45" s="79" t="s">
        <v>75</v>
      </c>
      <c r="C45" s="79" t="s">
        <v>15</v>
      </c>
      <c r="D45" s="80">
        <v>0.73139701236625076</v>
      </c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</row>
    <row r="46" spans="1:18" x14ac:dyDescent="0.2">
      <c r="A46" s="74">
        <v>436</v>
      </c>
      <c r="B46" s="79" t="s">
        <v>75</v>
      </c>
      <c r="C46" s="79" t="s">
        <v>15</v>
      </c>
      <c r="D46" s="80">
        <v>0.73139701236625076</v>
      </c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</row>
    <row r="47" spans="1:18" x14ac:dyDescent="0.2">
      <c r="A47" s="74">
        <v>568</v>
      </c>
      <c r="B47" s="79" t="s">
        <v>75</v>
      </c>
      <c r="C47" s="79" t="s">
        <v>15</v>
      </c>
      <c r="D47" s="80">
        <v>0.73139701236625076</v>
      </c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</row>
    <row r="48" spans="1:18" x14ac:dyDescent="0.2">
      <c r="A48" s="74">
        <v>611</v>
      </c>
      <c r="B48" s="79" t="s">
        <v>75</v>
      </c>
      <c r="C48" s="79" t="s">
        <v>15</v>
      </c>
      <c r="D48" s="80">
        <v>0.73139701236625076</v>
      </c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</row>
    <row r="49" spans="1:18" ht="16" thickBot="1" x14ac:dyDescent="0.25">
      <c r="A49" s="75">
        <v>668</v>
      </c>
      <c r="B49" s="81" t="s">
        <v>75</v>
      </c>
      <c r="C49" s="81" t="s">
        <v>15</v>
      </c>
      <c r="D49" s="82">
        <v>0.73139701236625076</v>
      </c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</row>
    <row r="50" spans="1:18" x14ac:dyDescent="0.2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</row>
    <row r="51" spans="1:18" x14ac:dyDescent="0.2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</row>
    <row r="52" spans="1:18" x14ac:dyDescent="0.2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</row>
  </sheetData>
  <phoneticPr fontId="7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1B579-0BD1-F94B-8DB8-47F18EFED4D0}">
  <dimension ref="B2:M101"/>
  <sheetViews>
    <sheetView tabSelected="1" zoomScaleNormal="100" workbookViewId="0">
      <selection activeCell="C59" sqref="C59"/>
    </sheetView>
  </sheetViews>
  <sheetFormatPr baseColWidth="10" defaultColWidth="8.83203125" defaultRowHeight="15" x14ac:dyDescent="0.2"/>
  <cols>
    <col min="1" max="1" width="8.83203125" style="3"/>
    <col min="2" max="2" width="21.1640625" style="3" customWidth="1"/>
    <col min="3" max="3" width="18.83203125" style="3" customWidth="1"/>
    <col min="4" max="4" width="15.5" style="3" customWidth="1"/>
    <col min="5" max="5" width="25.83203125" style="3" customWidth="1"/>
    <col min="6" max="6" width="23.1640625" style="3" customWidth="1"/>
    <col min="7" max="7" width="15.33203125" style="3" customWidth="1"/>
    <col min="8" max="8" width="15" style="3" customWidth="1"/>
    <col min="9" max="9" width="24.5" style="3" customWidth="1"/>
    <col min="10" max="11" width="8.83203125" style="3"/>
    <col min="12" max="12" width="19" style="3" customWidth="1"/>
    <col min="13" max="16384" width="8.83203125" style="3"/>
  </cols>
  <sheetData>
    <row r="2" spans="2:9" ht="21" x14ac:dyDescent="0.2">
      <c r="B2" s="68" t="s">
        <v>65</v>
      </c>
      <c r="C2" s="68"/>
      <c r="D2" s="68"/>
      <c r="E2" s="68"/>
      <c r="F2" s="68"/>
      <c r="G2" s="16"/>
      <c r="H2" s="16"/>
      <c r="I2" s="16"/>
    </row>
    <row r="3" spans="2:9" ht="16" thickBot="1" x14ac:dyDescent="0.25">
      <c r="B3" s="16"/>
      <c r="C3" s="16"/>
      <c r="D3" s="16"/>
      <c r="E3" s="16"/>
      <c r="F3" s="16"/>
      <c r="G3" s="16"/>
      <c r="H3" s="16"/>
      <c r="I3" s="16"/>
    </row>
    <row r="4" spans="2:9" x14ac:dyDescent="0.2">
      <c r="B4" s="45" t="s">
        <v>30</v>
      </c>
      <c r="C4" s="46"/>
      <c r="D4" s="46"/>
      <c r="E4" s="46"/>
      <c r="F4" s="47"/>
      <c r="G4" s="16"/>
      <c r="H4" s="16"/>
      <c r="I4" s="16"/>
    </row>
    <row r="5" spans="2:9" ht="32" x14ac:dyDescent="0.2">
      <c r="B5" s="48" t="s">
        <v>31</v>
      </c>
      <c r="C5" s="49" t="s">
        <v>32</v>
      </c>
      <c r="D5" s="49" t="s">
        <v>33</v>
      </c>
      <c r="E5" s="49" t="s">
        <v>63</v>
      </c>
      <c r="F5" s="50" t="s">
        <v>64</v>
      </c>
      <c r="G5" s="16"/>
      <c r="H5" s="16"/>
      <c r="I5" s="16"/>
    </row>
    <row r="6" spans="2:9" ht="16" x14ac:dyDescent="0.2">
      <c r="B6" s="72">
        <v>234</v>
      </c>
      <c r="C6" s="26">
        <f>Data!R2</f>
        <v>0.05</v>
      </c>
      <c r="D6" s="12">
        <f>Data!P2</f>
        <v>0.03</v>
      </c>
      <c r="E6" s="27">
        <f>Data!Q2</f>
        <v>1</v>
      </c>
      <c r="F6" s="28">
        <f>D6*E6</f>
        <v>0.03</v>
      </c>
      <c r="G6" s="16"/>
      <c r="H6" s="16"/>
      <c r="I6" s="16"/>
    </row>
    <row r="7" spans="2:9" ht="16" x14ac:dyDescent="0.2">
      <c r="B7" s="72">
        <v>101</v>
      </c>
      <c r="C7" s="26">
        <f>Data!R3</f>
        <v>7.0000000000000007E-2</v>
      </c>
      <c r="D7" s="12">
        <f>Data!P3</f>
        <v>0.02</v>
      </c>
      <c r="E7" s="27">
        <f>Data!Q3</f>
        <v>1.3</v>
      </c>
      <c r="F7" s="28">
        <f>D7*E7</f>
        <v>2.6000000000000002E-2</v>
      </c>
      <c r="G7" s="16"/>
      <c r="H7" s="16"/>
      <c r="I7" s="16"/>
    </row>
    <row r="8" spans="2:9" ht="16" x14ac:dyDescent="0.2">
      <c r="B8" s="72">
        <v>126</v>
      </c>
      <c r="C8" s="26">
        <f>Data!R4</f>
        <v>7.0000000000000007E-2</v>
      </c>
      <c r="D8" s="12">
        <f>Data!P4</f>
        <v>0.02</v>
      </c>
      <c r="E8" s="27">
        <f>Data!Q4</f>
        <v>1.3</v>
      </c>
      <c r="F8" s="28">
        <f t="shared" ref="F7:F25" si="0">D8*E8</f>
        <v>2.6000000000000002E-2</v>
      </c>
      <c r="G8" s="16"/>
      <c r="H8" s="16"/>
      <c r="I8" s="16"/>
    </row>
    <row r="9" spans="2:9" ht="16" x14ac:dyDescent="0.2">
      <c r="B9" s="72">
        <v>56</v>
      </c>
      <c r="C9" s="26">
        <f>Data!R5</f>
        <v>7.0000000000000007E-2</v>
      </c>
      <c r="D9" s="12">
        <f>Data!P5</f>
        <v>0.02</v>
      </c>
      <c r="E9" s="27">
        <f>Data!Q5</f>
        <v>0.6</v>
      </c>
      <c r="F9" s="28">
        <f t="shared" si="0"/>
        <v>1.2E-2</v>
      </c>
      <c r="G9" s="16"/>
      <c r="H9" s="16"/>
      <c r="I9" s="16"/>
    </row>
    <row r="10" spans="2:9" ht="16" x14ac:dyDescent="0.2">
      <c r="B10" s="72">
        <v>337</v>
      </c>
      <c r="C10" s="26">
        <f>Data!R6</f>
        <v>7.0000000000000007E-2</v>
      </c>
      <c r="D10" s="12">
        <f>Data!P6</f>
        <v>0.03</v>
      </c>
      <c r="E10" s="27">
        <f>Data!Q6</f>
        <v>1.2</v>
      </c>
      <c r="F10" s="28">
        <f t="shared" si="0"/>
        <v>3.5999999999999997E-2</v>
      </c>
      <c r="G10" s="16"/>
      <c r="H10" s="16"/>
      <c r="I10" s="16"/>
    </row>
    <row r="11" spans="2:9" ht="16" x14ac:dyDescent="0.2">
      <c r="B11" s="72">
        <v>376</v>
      </c>
      <c r="C11" s="26">
        <f>Data!R7</f>
        <v>0.05</v>
      </c>
      <c r="D11" s="12">
        <f>Data!P7</f>
        <v>0.01</v>
      </c>
      <c r="E11" s="27">
        <f>Data!Q7</f>
        <v>0.9</v>
      </c>
      <c r="F11" s="28">
        <f t="shared" si="0"/>
        <v>9.0000000000000011E-3</v>
      </c>
      <c r="G11" s="16"/>
      <c r="H11" s="16"/>
      <c r="I11" s="16"/>
    </row>
    <row r="12" spans="2:9" ht="16" x14ac:dyDescent="0.2">
      <c r="B12" s="72">
        <v>354</v>
      </c>
      <c r="C12" s="26">
        <f>Data!R8</f>
        <v>0.05</v>
      </c>
      <c r="D12" s="12">
        <f>Data!P8</f>
        <v>0.01</v>
      </c>
      <c r="E12" s="27">
        <f>Data!Q8</f>
        <v>0.9</v>
      </c>
      <c r="F12" s="28">
        <f t="shared" si="0"/>
        <v>9.0000000000000011E-3</v>
      </c>
      <c r="G12" s="16"/>
      <c r="H12" s="16"/>
      <c r="I12" s="16"/>
    </row>
    <row r="13" spans="2:9" ht="16" x14ac:dyDescent="0.2">
      <c r="B13" s="72">
        <v>111</v>
      </c>
      <c r="C13" s="26">
        <f>Data!R9</f>
        <v>7.0000000000000007E-2</v>
      </c>
      <c r="D13" s="12">
        <f>Data!P9</f>
        <v>0.01</v>
      </c>
      <c r="E13" s="27">
        <f>Data!Q9</f>
        <v>1.3</v>
      </c>
      <c r="F13" s="28">
        <f t="shared" si="0"/>
        <v>1.3000000000000001E-2</v>
      </c>
      <c r="G13" s="16"/>
      <c r="H13" s="16"/>
      <c r="I13" s="16"/>
    </row>
    <row r="14" spans="2:9" ht="16" x14ac:dyDescent="0.2">
      <c r="B14" s="72">
        <v>145</v>
      </c>
      <c r="C14" s="26">
        <f>Data!R10</f>
        <v>0.05</v>
      </c>
      <c r="D14" s="12">
        <f>Data!P10</f>
        <v>0.01</v>
      </c>
      <c r="E14" s="27">
        <f>Data!Q10</f>
        <v>1.3</v>
      </c>
      <c r="F14" s="28">
        <f t="shared" si="0"/>
        <v>1.3000000000000001E-2</v>
      </c>
      <c r="G14" s="16"/>
      <c r="H14" s="16"/>
      <c r="I14" s="16"/>
    </row>
    <row r="15" spans="2:9" ht="16" x14ac:dyDescent="0.2">
      <c r="B15" s="72">
        <v>437</v>
      </c>
      <c r="C15" s="26">
        <f>Data!R11</f>
        <v>0.05</v>
      </c>
      <c r="D15" s="12">
        <f>Data!P11</f>
        <v>0.01</v>
      </c>
      <c r="E15" s="27">
        <f>Data!Q11</f>
        <v>1.3</v>
      </c>
      <c r="F15" s="28">
        <f t="shared" si="0"/>
        <v>1.3000000000000001E-2</v>
      </c>
      <c r="G15" s="16"/>
      <c r="H15" s="16"/>
      <c r="I15" s="16"/>
    </row>
    <row r="16" spans="2:9" ht="16" x14ac:dyDescent="0.2">
      <c r="B16" s="72">
        <v>569</v>
      </c>
      <c r="C16" s="26">
        <f>Data!R12</f>
        <v>0.05</v>
      </c>
      <c r="D16" s="12">
        <f>Data!P12</f>
        <v>0.01</v>
      </c>
      <c r="E16" s="27">
        <f>Data!Q12</f>
        <v>1.3</v>
      </c>
      <c r="F16" s="28">
        <f t="shared" si="0"/>
        <v>1.3000000000000001E-2</v>
      </c>
      <c r="G16" s="16"/>
      <c r="H16" s="16"/>
      <c r="I16" s="16"/>
    </row>
    <row r="17" spans="2:9" ht="16" x14ac:dyDescent="0.2">
      <c r="B17" s="72">
        <v>612</v>
      </c>
      <c r="C17" s="26">
        <f>Data!R13</f>
        <v>0.05</v>
      </c>
      <c r="D17" s="12">
        <f>Data!P13</f>
        <v>0.01</v>
      </c>
      <c r="E17" s="27">
        <f>Data!Q13</f>
        <v>1.3</v>
      </c>
      <c r="F17" s="28">
        <f t="shared" si="0"/>
        <v>1.3000000000000001E-2</v>
      </c>
      <c r="G17" s="16"/>
      <c r="H17" s="16"/>
      <c r="I17" s="16"/>
    </row>
    <row r="18" spans="2:9" ht="16" x14ac:dyDescent="0.2">
      <c r="B18" s="72">
        <v>669</v>
      </c>
      <c r="C18" s="26">
        <f>Data!R14</f>
        <v>0.05</v>
      </c>
      <c r="D18" s="12">
        <f>Data!P14</f>
        <v>0.01</v>
      </c>
      <c r="E18" s="27">
        <f>Data!Q14</f>
        <v>1.3</v>
      </c>
      <c r="F18" s="28">
        <f t="shared" si="0"/>
        <v>1.3000000000000001E-2</v>
      </c>
      <c r="G18" s="16"/>
      <c r="H18" s="16"/>
      <c r="I18" s="16"/>
    </row>
    <row r="19" spans="2:9" ht="16" x14ac:dyDescent="0.2">
      <c r="B19" s="72">
        <v>717</v>
      </c>
      <c r="C19" s="26">
        <f>Data!R15</f>
        <v>0.05</v>
      </c>
      <c r="D19" s="12">
        <f>Data!P15</f>
        <v>0.01</v>
      </c>
      <c r="E19" s="27">
        <f>Data!Q15</f>
        <v>1.3</v>
      </c>
      <c r="F19" s="28">
        <f t="shared" si="0"/>
        <v>1.3000000000000001E-2</v>
      </c>
      <c r="G19" s="16"/>
      <c r="H19" s="16"/>
      <c r="I19" s="16"/>
    </row>
    <row r="20" spans="2:9" ht="16" x14ac:dyDescent="0.2">
      <c r="B20" s="72">
        <v>127</v>
      </c>
      <c r="C20" s="26">
        <f>Data!R16</f>
        <v>0.05</v>
      </c>
      <c r="D20" s="12">
        <f>Data!P16</f>
        <v>0.03</v>
      </c>
      <c r="E20" s="27">
        <f>Data!Q16</f>
        <v>1</v>
      </c>
      <c r="F20" s="28">
        <f t="shared" si="0"/>
        <v>0.03</v>
      </c>
      <c r="G20" s="16"/>
      <c r="H20" s="16"/>
      <c r="I20" s="16"/>
    </row>
    <row r="21" spans="2:9" ht="16" x14ac:dyDescent="0.2">
      <c r="B21" s="72">
        <v>144</v>
      </c>
      <c r="C21" s="26">
        <f>Data!R17</f>
        <v>7.0000000000000007E-2</v>
      </c>
      <c r="D21" s="12">
        <f>Data!P17</f>
        <v>0.03</v>
      </c>
      <c r="E21" s="27">
        <f>Data!Q17</f>
        <v>1</v>
      </c>
      <c r="F21" s="28">
        <f t="shared" si="0"/>
        <v>0.03</v>
      </c>
      <c r="G21" s="16"/>
      <c r="H21" s="16"/>
      <c r="I21" s="16"/>
    </row>
    <row r="22" spans="2:9" ht="16" x14ac:dyDescent="0.2">
      <c r="B22" s="72">
        <v>436</v>
      </c>
      <c r="C22" s="26">
        <f>Data!R18</f>
        <v>7.0000000000000007E-2</v>
      </c>
      <c r="D22" s="12">
        <f>Data!P18</f>
        <v>0.03</v>
      </c>
      <c r="E22" s="27">
        <f>Data!Q18</f>
        <v>1</v>
      </c>
      <c r="F22" s="28">
        <f t="shared" si="0"/>
        <v>0.03</v>
      </c>
      <c r="G22" s="16"/>
      <c r="H22" s="16"/>
      <c r="I22" s="16"/>
    </row>
    <row r="23" spans="2:9" ht="16" x14ac:dyDescent="0.2">
      <c r="B23" s="72">
        <v>568</v>
      </c>
      <c r="C23" s="26">
        <f>Data!R19</f>
        <v>7.0000000000000007E-2</v>
      </c>
      <c r="D23" s="12">
        <f>Data!P19</f>
        <v>0.03</v>
      </c>
      <c r="E23" s="27">
        <f>Data!Q19</f>
        <v>1</v>
      </c>
      <c r="F23" s="28">
        <f t="shared" si="0"/>
        <v>0.03</v>
      </c>
      <c r="G23" s="16"/>
      <c r="H23" s="16"/>
      <c r="I23" s="16"/>
    </row>
    <row r="24" spans="2:9" ht="16" x14ac:dyDescent="0.2">
      <c r="B24" s="72">
        <v>611</v>
      </c>
      <c r="C24" s="26">
        <f>Data!R20</f>
        <v>7.0000000000000007E-2</v>
      </c>
      <c r="D24" s="12">
        <f>Data!P20</f>
        <v>0.03</v>
      </c>
      <c r="E24" s="27">
        <f>Data!Q20</f>
        <v>1</v>
      </c>
      <c r="F24" s="28">
        <f t="shared" si="0"/>
        <v>0.03</v>
      </c>
      <c r="G24" s="16"/>
      <c r="H24" s="16"/>
      <c r="I24" s="16"/>
    </row>
    <row r="25" spans="2:9" ht="17" thickBot="1" x14ac:dyDescent="0.25">
      <c r="B25" s="73">
        <v>668</v>
      </c>
      <c r="C25" s="71">
        <f>Data!R21</f>
        <v>7.0000000000000007E-2</v>
      </c>
      <c r="D25" s="29">
        <f>Data!P21</f>
        <v>0.03</v>
      </c>
      <c r="E25" s="30">
        <f>Data!Q21</f>
        <v>1</v>
      </c>
      <c r="F25" s="31">
        <f t="shared" si="0"/>
        <v>0.03</v>
      </c>
      <c r="G25" s="16"/>
      <c r="H25" s="16"/>
      <c r="I25" s="16"/>
    </row>
    <row r="26" spans="2:9" x14ac:dyDescent="0.2">
      <c r="B26" s="16"/>
      <c r="C26" s="16"/>
      <c r="D26" s="16"/>
      <c r="E26" s="16"/>
      <c r="F26" s="16"/>
      <c r="G26" s="16"/>
      <c r="H26" s="16"/>
      <c r="I26" s="16"/>
    </row>
    <row r="27" spans="2:9" ht="16" thickBot="1" x14ac:dyDescent="0.25">
      <c r="B27" s="16"/>
      <c r="C27" s="16"/>
      <c r="D27" s="16"/>
      <c r="E27" s="16"/>
      <c r="F27" s="16"/>
      <c r="G27" s="16"/>
      <c r="H27" s="16"/>
      <c r="I27" s="16"/>
    </row>
    <row r="28" spans="2:9" ht="16" x14ac:dyDescent="0.2">
      <c r="B28" s="51" t="s">
        <v>34</v>
      </c>
      <c r="C28" s="52"/>
      <c r="D28" s="52"/>
      <c r="E28" s="53"/>
      <c r="F28" s="16"/>
      <c r="G28" s="16"/>
      <c r="H28" s="16"/>
      <c r="I28" s="16"/>
    </row>
    <row r="29" spans="2:9" ht="42" customHeight="1" x14ac:dyDescent="0.2">
      <c r="B29" s="54" t="s">
        <v>31</v>
      </c>
      <c r="C29" s="55" t="s">
        <v>35</v>
      </c>
      <c r="D29" s="56" t="s">
        <v>36</v>
      </c>
      <c r="E29" s="50" t="s">
        <v>64</v>
      </c>
      <c r="F29" s="7"/>
      <c r="G29" s="17"/>
      <c r="H29" s="17"/>
      <c r="I29" s="17"/>
    </row>
    <row r="30" spans="2:9" x14ac:dyDescent="0.2">
      <c r="B30" s="72">
        <v>234</v>
      </c>
      <c r="C30" s="11">
        <v>0.20000000000000009</v>
      </c>
      <c r="D30" s="12">
        <v>3</v>
      </c>
      <c r="E30" s="28">
        <f>D30*E6*D6</f>
        <v>0.09</v>
      </c>
      <c r="F30" s="12"/>
      <c r="G30" s="16"/>
      <c r="H30" s="16"/>
      <c r="I30" s="16"/>
    </row>
    <row r="31" spans="2:9" x14ac:dyDescent="0.2">
      <c r="B31" s="72">
        <v>101</v>
      </c>
      <c r="C31" s="11">
        <v>1.4285714285714286</v>
      </c>
      <c r="D31" s="12">
        <v>0</v>
      </c>
      <c r="E31" s="28">
        <f t="shared" ref="E31:E49" si="1">D31*E7*D7</f>
        <v>0</v>
      </c>
      <c r="F31" s="12"/>
      <c r="G31" s="16"/>
      <c r="H31" s="16"/>
      <c r="I31" s="16"/>
    </row>
    <row r="32" spans="2:9" x14ac:dyDescent="0.2">
      <c r="B32" s="72">
        <v>126</v>
      </c>
      <c r="C32" s="11">
        <v>1.4285714285714286</v>
      </c>
      <c r="D32" s="12">
        <v>0</v>
      </c>
      <c r="E32" s="28">
        <f t="shared" si="1"/>
        <v>0</v>
      </c>
      <c r="F32" s="13"/>
      <c r="G32" s="16"/>
      <c r="H32" s="16"/>
      <c r="I32" s="16"/>
    </row>
    <row r="33" spans="2:9" x14ac:dyDescent="0.2">
      <c r="B33" s="72">
        <v>56</v>
      </c>
      <c r="C33" s="11">
        <v>1.4285714285714286</v>
      </c>
      <c r="D33" s="12">
        <v>0</v>
      </c>
      <c r="E33" s="28">
        <f t="shared" si="1"/>
        <v>0</v>
      </c>
      <c r="F33" s="16"/>
      <c r="G33" s="16"/>
      <c r="H33" s="16"/>
      <c r="I33" s="16"/>
    </row>
    <row r="34" spans="2:9" x14ac:dyDescent="0.2">
      <c r="B34" s="72">
        <v>337</v>
      </c>
      <c r="C34" s="11">
        <v>1.4285714285714286</v>
      </c>
      <c r="D34" s="12">
        <v>0</v>
      </c>
      <c r="E34" s="28">
        <f t="shared" si="1"/>
        <v>0</v>
      </c>
      <c r="F34" s="16"/>
      <c r="G34" s="16"/>
      <c r="H34" s="16"/>
      <c r="I34" s="16"/>
    </row>
    <row r="35" spans="2:9" x14ac:dyDescent="0.2">
      <c r="B35" s="72">
        <v>376</v>
      </c>
      <c r="C35" s="11">
        <v>2</v>
      </c>
      <c r="D35" s="12">
        <v>0</v>
      </c>
      <c r="E35" s="28">
        <f t="shared" si="1"/>
        <v>0</v>
      </c>
      <c r="F35" s="16"/>
      <c r="G35" s="16"/>
      <c r="H35" s="16"/>
      <c r="I35" s="16"/>
    </row>
    <row r="36" spans="2:9" x14ac:dyDescent="0.2">
      <c r="B36" s="72">
        <v>354</v>
      </c>
      <c r="C36" s="11">
        <v>2</v>
      </c>
      <c r="D36" s="12">
        <v>0</v>
      </c>
      <c r="E36" s="28">
        <f t="shared" si="1"/>
        <v>0</v>
      </c>
      <c r="F36" s="16"/>
      <c r="G36" s="16"/>
      <c r="H36" s="16"/>
      <c r="I36" s="16"/>
    </row>
    <row r="37" spans="2:9" x14ac:dyDescent="0.2">
      <c r="B37" s="72">
        <v>111</v>
      </c>
      <c r="C37" s="11">
        <v>1.4285714285714286</v>
      </c>
      <c r="D37" s="12">
        <v>0</v>
      </c>
      <c r="E37" s="28">
        <f t="shared" si="1"/>
        <v>0</v>
      </c>
      <c r="F37" s="16"/>
      <c r="G37" s="16"/>
      <c r="H37" s="16"/>
      <c r="I37" s="16"/>
    </row>
    <row r="38" spans="2:9" x14ac:dyDescent="0.2">
      <c r="B38" s="72">
        <v>145</v>
      </c>
      <c r="C38" s="11">
        <v>2</v>
      </c>
      <c r="D38" s="12">
        <v>0</v>
      </c>
      <c r="E38" s="28">
        <f t="shared" si="1"/>
        <v>0</v>
      </c>
      <c r="F38" s="16"/>
      <c r="G38" s="16"/>
      <c r="H38" s="16"/>
      <c r="I38" s="16"/>
    </row>
    <row r="39" spans="2:9" x14ac:dyDescent="0.2">
      <c r="B39" s="72">
        <v>437</v>
      </c>
      <c r="C39" s="11">
        <v>2</v>
      </c>
      <c r="D39" s="12">
        <v>0</v>
      </c>
      <c r="E39" s="28">
        <f t="shared" si="1"/>
        <v>0</v>
      </c>
      <c r="F39" s="16"/>
      <c r="G39" s="16"/>
      <c r="H39" s="16"/>
      <c r="I39" s="16"/>
    </row>
    <row r="40" spans="2:9" x14ac:dyDescent="0.2">
      <c r="B40" s="72">
        <v>569</v>
      </c>
      <c r="C40" s="11">
        <v>2</v>
      </c>
      <c r="D40" s="12">
        <v>0</v>
      </c>
      <c r="E40" s="28">
        <f t="shared" si="1"/>
        <v>0</v>
      </c>
      <c r="F40" s="16"/>
      <c r="G40" s="16"/>
      <c r="H40" s="16"/>
      <c r="I40" s="16"/>
    </row>
    <row r="41" spans="2:9" x14ac:dyDescent="0.2">
      <c r="B41" s="72">
        <v>612</v>
      </c>
      <c r="C41" s="11">
        <v>2</v>
      </c>
      <c r="D41" s="12">
        <v>0</v>
      </c>
      <c r="E41" s="28">
        <f t="shared" si="1"/>
        <v>0</v>
      </c>
      <c r="F41" s="16"/>
      <c r="G41" s="16"/>
      <c r="H41" s="16"/>
      <c r="I41" s="16"/>
    </row>
    <row r="42" spans="2:9" x14ac:dyDescent="0.2">
      <c r="B42" s="72">
        <v>669</v>
      </c>
      <c r="C42" s="11">
        <v>2</v>
      </c>
      <c r="D42" s="12">
        <v>0</v>
      </c>
      <c r="E42" s="28">
        <f t="shared" si="1"/>
        <v>0</v>
      </c>
      <c r="F42" s="16"/>
      <c r="G42" s="16"/>
      <c r="H42" s="16"/>
      <c r="I42" s="16"/>
    </row>
    <row r="43" spans="2:9" x14ac:dyDescent="0.2">
      <c r="B43" s="72">
        <v>717</v>
      </c>
      <c r="C43" s="11">
        <v>2</v>
      </c>
      <c r="D43" s="12">
        <v>0</v>
      </c>
      <c r="E43" s="28">
        <f t="shared" si="1"/>
        <v>0</v>
      </c>
      <c r="F43" s="16"/>
      <c r="G43" s="16"/>
      <c r="H43" s="16"/>
      <c r="I43" s="16"/>
    </row>
    <row r="44" spans="2:9" x14ac:dyDescent="0.2">
      <c r="B44" s="72">
        <v>127</v>
      </c>
      <c r="C44" s="11">
        <v>0.20000000000000009</v>
      </c>
      <c r="D44" s="12">
        <v>3</v>
      </c>
      <c r="E44" s="28">
        <f t="shared" si="1"/>
        <v>0.09</v>
      </c>
      <c r="F44" s="16"/>
      <c r="G44" s="16"/>
      <c r="H44" s="16"/>
      <c r="I44" s="16"/>
    </row>
    <row r="45" spans="2:9" x14ac:dyDescent="0.2">
      <c r="B45" s="72">
        <v>144</v>
      </c>
      <c r="C45" s="11">
        <v>0.57142857142857151</v>
      </c>
      <c r="D45" s="12">
        <v>2</v>
      </c>
      <c r="E45" s="28">
        <f t="shared" si="1"/>
        <v>0.06</v>
      </c>
      <c r="F45" s="16"/>
      <c r="G45" s="16"/>
      <c r="H45" s="16"/>
      <c r="I45" s="16"/>
    </row>
    <row r="46" spans="2:9" x14ac:dyDescent="0.2">
      <c r="B46" s="72">
        <v>436</v>
      </c>
      <c r="C46" s="11">
        <v>1.4285714285714286</v>
      </c>
      <c r="D46" s="12">
        <v>0</v>
      </c>
      <c r="E46" s="28">
        <f t="shared" si="1"/>
        <v>0</v>
      </c>
      <c r="F46" s="16"/>
      <c r="G46" s="16"/>
      <c r="H46" s="16"/>
      <c r="I46" s="16"/>
    </row>
    <row r="47" spans="2:9" x14ac:dyDescent="0.2">
      <c r="B47" s="72">
        <v>568</v>
      </c>
      <c r="C47" s="11">
        <v>1</v>
      </c>
      <c r="D47" s="12">
        <v>1</v>
      </c>
      <c r="E47" s="28">
        <f t="shared" si="1"/>
        <v>0.03</v>
      </c>
      <c r="F47" s="16"/>
      <c r="G47" s="16"/>
      <c r="H47" s="16"/>
      <c r="I47" s="16"/>
    </row>
    <row r="48" spans="2:9" x14ac:dyDescent="0.2">
      <c r="B48" s="72">
        <v>611</v>
      </c>
      <c r="C48" s="11">
        <v>0.1428571428571429</v>
      </c>
      <c r="D48" s="12">
        <v>3</v>
      </c>
      <c r="E48" s="28">
        <f t="shared" si="1"/>
        <v>0.09</v>
      </c>
      <c r="F48" s="16"/>
      <c r="G48" s="16"/>
      <c r="H48" s="16"/>
      <c r="I48" s="16"/>
    </row>
    <row r="49" spans="2:9" ht="16" thickBot="1" x14ac:dyDescent="0.25">
      <c r="B49" s="73">
        <v>668</v>
      </c>
      <c r="C49" s="32">
        <v>0.14285714285714346</v>
      </c>
      <c r="D49" s="29">
        <v>3</v>
      </c>
      <c r="E49" s="31">
        <f t="shared" si="1"/>
        <v>0.09</v>
      </c>
      <c r="F49" s="16"/>
      <c r="G49" s="16"/>
      <c r="H49" s="16"/>
      <c r="I49" s="16"/>
    </row>
    <row r="50" spans="2:9" x14ac:dyDescent="0.2">
      <c r="B50" s="10"/>
      <c r="C50" s="4"/>
      <c r="D50" s="16"/>
      <c r="E50" s="16"/>
      <c r="F50" s="16"/>
      <c r="G50" s="16"/>
      <c r="H50" s="16"/>
      <c r="I50" s="16"/>
    </row>
    <row r="51" spans="2:9" ht="16.5" customHeight="1" x14ac:dyDescent="0.2">
      <c r="B51" s="16"/>
      <c r="C51" s="18"/>
      <c r="D51" s="16"/>
      <c r="E51" s="16"/>
      <c r="F51" s="16"/>
      <c r="G51" s="16"/>
      <c r="H51" s="16"/>
      <c r="I51" s="16"/>
    </row>
    <row r="52" spans="2:9" ht="16" thickBot="1" x14ac:dyDescent="0.25">
      <c r="B52" s="16"/>
      <c r="C52" s="16"/>
      <c r="D52" s="16"/>
      <c r="E52" s="16"/>
      <c r="F52" s="16"/>
      <c r="G52" s="16"/>
      <c r="H52" s="16"/>
      <c r="I52" s="16"/>
    </row>
    <row r="53" spans="2:9" ht="16" x14ac:dyDescent="0.2">
      <c r="B53" s="57" t="s">
        <v>40</v>
      </c>
      <c r="C53" s="58" t="s">
        <v>41</v>
      </c>
      <c r="D53" s="16"/>
      <c r="E53" s="16"/>
      <c r="F53" s="16"/>
      <c r="G53" s="16"/>
      <c r="H53" s="16"/>
      <c r="I53" s="16"/>
    </row>
    <row r="54" spans="2:9" ht="16" thickBot="1" x14ac:dyDescent="0.25">
      <c r="B54" s="43" t="s">
        <v>42</v>
      </c>
      <c r="C54" s="44">
        <f>SUM(C30:C49)+SUM(E30:E49)</f>
        <v>27.278571428571425</v>
      </c>
      <c r="D54" s="16"/>
      <c r="E54" s="16"/>
      <c r="F54" s="16"/>
      <c r="G54" s="16"/>
      <c r="H54" s="16"/>
      <c r="I54" s="16"/>
    </row>
    <row r="55" spans="2:9" x14ac:dyDescent="0.2">
      <c r="B55" s="16"/>
      <c r="C55" s="16"/>
      <c r="D55" s="16"/>
      <c r="E55" s="16"/>
      <c r="F55" s="16"/>
      <c r="G55" s="16"/>
      <c r="H55" s="16"/>
      <c r="I55" s="16"/>
    </row>
    <row r="56" spans="2:9" x14ac:dyDescent="0.2">
      <c r="B56" s="16"/>
      <c r="C56" s="16"/>
      <c r="D56" s="16"/>
      <c r="E56" s="16"/>
      <c r="F56" s="16"/>
      <c r="G56" s="16"/>
      <c r="H56" s="16"/>
      <c r="I56" s="16"/>
    </row>
    <row r="57" spans="2:9" ht="16" x14ac:dyDescent="0.2">
      <c r="B57" s="19" t="s">
        <v>43</v>
      </c>
      <c r="C57" s="16"/>
      <c r="D57" s="16"/>
      <c r="E57" s="16"/>
      <c r="F57" s="16"/>
      <c r="G57" s="16"/>
      <c r="H57" s="16"/>
      <c r="I57" s="16"/>
    </row>
    <row r="58" spans="2:9" x14ac:dyDescent="0.2">
      <c r="B58" s="8" t="s">
        <v>68</v>
      </c>
      <c r="C58" s="16"/>
      <c r="D58" s="16"/>
      <c r="E58" s="8" t="s">
        <v>45</v>
      </c>
      <c r="F58" s="8" t="s">
        <v>46</v>
      </c>
      <c r="G58" s="16"/>
      <c r="H58" s="16"/>
      <c r="I58" s="16"/>
    </row>
    <row r="59" spans="2:9" x14ac:dyDescent="0.2">
      <c r="B59" s="62" t="s">
        <v>47</v>
      </c>
      <c r="C59" s="21">
        <f>SUM(D30:D49)</f>
        <v>15</v>
      </c>
      <c r="D59" s="16" t="s">
        <v>48</v>
      </c>
      <c r="E59" s="16">
        <v>15</v>
      </c>
      <c r="F59" s="22">
        <f>E59-C59</f>
        <v>0</v>
      </c>
      <c r="G59" s="16" t="s">
        <v>66</v>
      </c>
      <c r="H59" s="16"/>
      <c r="I59" s="16"/>
    </row>
    <row r="60" spans="2:9" x14ac:dyDescent="0.2">
      <c r="B60" s="63" t="s">
        <v>49</v>
      </c>
      <c r="C60" s="24">
        <f>SUM(C30:C49)</f>
        <v>26.828571428571426</v>
      </c>
      <c r="D60" s="16" t="s">
        <v>48</v>
      </c>
      <c r="E60" s="16">
        <v>50</v>
      </c>
      <c r="F60" s="22">
        <f>E60-C60</f>
        <v>23.171428571428574</v>
      </c>
      <c r="G60" s="25" t="s">
        <v>69</v>
      </c>
      <c r="H60" s="16"/>
      <c r="I60" s="16"/>
    </row>
    <row r="61" spans="2:9" x14ac:dyDescent="0.2">
      <c r="B61" s="16"/>
      <c r="C61" s="16"/>
      <c r="D61" s="16"/>
      <c r="E61" s="16"/>
      <c r="F61" s="16"/>
      <c r="G61" s="16"/>
      <c r="H61" s="16"/>
      <c r="I61" s="16"/>
    </row>
    <row r="62" spans="2:9" ht="16" thickBot="1" x14ac:dyDescent="0.25">
      <c r="B62" s="33" t="s">
        <v>50</v>
      </c>
      <c r="C62" s="33"/>
      <c r="D62" s="33"/>
      <c r="E62" s="33"/>
      <c r="F62" s="16"/>
      <c r="G62" s="16"/>
      <c r="H62" s="16"/>
      <c r="I62" s="16"/>
    </row>
    <row r="63" spans="2:9" ht="16" x14ac:dyDescent="0.2">
      <c r="B63" s="59" t="s">
        <v>31</v>
      </c>
      <c r="C63" s="60" t="s">
        <v>51</v>
      </c>
      <c r="D63" s="60" t="s">
        <v>52</v>
      </c>
      <c r="E63" s="61" t="s">
        <v>53</v>
      </c>
      <c r="F63" s="8"/>
      <c r="G63" s="64" t="s">
        <v>54</v>
      </c>
      <c r="H63" s="65" t="s">
        <v>61</v>
      </c>
      <c r="I63" s="58" t="s">
        <v>62</v>
      </c>
    </row>
    <row r="64" spans="2:9" x14ac:dyDescent="0.2">
      <c r="B64" s="72">
        <v>234</v>
      </c>
      <c r="C64" s="14">
        <f>C30*C6</f>
        <v>1.0000000000000005E-2</v>
      </c>
      <c r="D64" s="15">
        <f>D30*D6</f>
        <v>0.09</v>
      </c>
      <c r="E64" s="34">
        <f>SUM(C64:D64)</f>
        <v>0.1</v>
      </c>
      <c r="F64" s="16" t="s">
        <v>55</v>
      </c>
      <c r="G64" s="38">
        <v>0.1</v>
      </c>
      <c r="H64" s="39" cm="1">
        <f t="array" ref="H64:H83">Data!O2:O21</f>
        <v>0.89676022805322031</v>
      </c>
      <c r="I64" s="28">
        <f>H64-G64</f>
        <v>0.79676022805322033</v>
      </c>
    </row>
    <row r="65" spans="2:9" x14ac:dyDescent="0.2">
      <c r="B65" s="72">
        <v>101</v>
      </c>
      <c r="C65" s="14">
        <f t="shared" ref="C65:D83" si="2">C31*C7</f>
        <v>0.1</v>
      </c>
      <c r="D65" s="15">
        <f t="shared" si="2"/>
        <v>0</v>
      </c>
      <c r="E65" s="34">
        <f t="shared" ref="E65:E83" si="3">SUM(C65:D65)</f>
        <v>0.1</v>
      </c>
      <c r="F65" s="16" t="s">
        <v>55</v>
      </c>
      <c r="G65" s="38">
        <v>0.1</v>
      </c>
      <c r="H65" s="39">
        <v>0.8669211199397262</v>
      </c>
      <c r="I65" s="28">
        <f t="shared" ref="I65:I83" si="4">H65-G65</f>
        <v>0.76692111993972623</v>
      </c>
    </row>
    <row r="66" spans="2:9" x14ac:dyDescent="0.2">
      <c r="B66" s="72">
        <v>126</v>
      </c>
      <c r="C66" s="14">
        <f t="shared" si="2"/>
        <v>0.1</v>
      </c>
      <c r="D66" s="15">
        <f t="shared" si="2"/>
        <v>0</v>
      </c>
      <c r="E66" s="34">
        <f t="shared" si="3"/>
        <v>0.1</v>
      </c>
      <c r="F66" s="16" t="s">
        <v>55</v>
      </c>
      <c r="G66" s="38">
        <v>0.1</v>
      </c>
      <c r="H66" s="39">
        <v>0.86346265489598895</v>
      </c>
      <c r="I66" s="28">
        <f t="shared" si="4"/>
        <v>0.76346265489598897</v>
      </c>
    </row>
    <row r="67" spans="2:9" x14ac:dyDescent="0.2">
      <c r="B67" s="72">
        <v>56</v>
      </c>
      <c r="C67" s="14">
        <f t="shared" si="2"/>
        <v>0.1</v>
      </c>
      <c r="D67" s="15">
        <f t="shared" si="2"/>
        <v>0</v>
      </c>
      <c r="E67" s="34">
        <f t="shared" si="3"/>
        <v>0.1</v>
      </c>
      <c r="F67" s="16" t="s">
        <v>55</v>
      </c>
      <c r="G67" s="38">
        <v>0.1</v>
      </c>
      <c r="H67" s="39">
        <v>0.82054187135508228</v>
      </c>
      <c r="I67" s="28">
        <f t="shared" si="4"/>
        <v>0.7205418713550823</v>
      </c>
    </row>
    <row r="68" spans="2:9" x14ac:dyDescent="0.2">
      <c r="B68" s="72">
        <v>337</v>
      </c>
      <c r="C68" s="14">
        <f t="shared" si="2"/>
        <v>0.1</v>
      </c>
      <c r="D68" s="15">
        <f t="shared" si="2"/>
        <v>0</v>
      </c>
      <c r="E68" s="34">
        <f t="shared" si="3"/>
        <v>0.1</v>
      </c>
      <c r="F68" s="16" t="s">
        <v>55</v>
      </c>
      <c r="G68" s="38">
        <v>0.1</v>
      </c>
      <c r="H68" s="39">
        <v>0.79054317390879014</v>
      </c>
      <c r="I68" s="28">
        <f t="shared" si="4"/>
        <v>0.69054317390879016</v>
      </c>
    </row>
    <row r="69" spans="2:9" x14ac:dyDescent="0.2">
      <c r="B69" s="72">
        <v>376</v>
      </c>
      <c r="C69" s="14">
        <f t="shared" si="2"/>
        <v>0.1</v>
      </c>
      <c r="D69" s="15">
        <f t="shared" si="2"/>
        <v>0</v>
      </c>
      <c r="E69" s="34">
        <f t="shared" si="3"/>
        <v>0.1</v>
      </c>
      <c r="F69" s="16" t="s">
        <v>55</v>
      </c>
      <c r="G69" s="38">
        <v>0.1</v>
      </c>
      <c r="H69" s="39">
        <v>0.7861023673291524</v>
      </c>
      <c r="I69" s="28">
        <f t="shared" si="4"/>
        <v>0.68610236732915242</v>
      </c>
    </row>
    <row r="70" spans="2:9" x14ac:dyDescent="0.2">
      <c r="B70" s="72">
        <v>354</v>
      </c>
      <c r="C70" s="14">
        <f t="shared" si="2"/>
        <v>0.1</v>
      </c>
      <c r="D70" s="15">
        <f t="shared" si="2"/>
        <v>0</v>
      </c>
      <c r="E70" s="34">
        <f t="shared" si="3"/>
        <v>0.1</v>
      </c>
      <c r="F70" s="16" t="s">
        <v>55</v>
      </c>
      <c r="G70" s="38">
        <v>0.1</v>
      </c>
      <c r="H70" s="39">
        <v>0.77794420679527143</v>
      </c>
      <c r="I70" s="28">
        <f t="shared" si="4"/>
        <v>0.67794420679527145</v>
      </c>
    </row>
    <row r="71" spans="2:9" x14ac:dyDescent="0.2">
      <c r="B71" s="72">
        <v>111</v>
      </c>
      <c r="C71" s="14">
        <f t="shared" si="2"/>
        <v>0.1</v>
      </c>
      <c r="D71" s="15">
        <f t="shared" si="2"/>
        <v>0</v>
      </c>
      <c r="E71" s="34">
        <f t="shared" si="3"/>
        <v>0.1</v>
      </c>
      <c r="F71" s="16" t="s">
        <v>55</v>
      </c>
      <c r="G71" s="38">
        <v>0.1</v>
      </c>
      <c r="H71" s="39">
        <v>0.77162652386222019</v>
      </c>
      <c r="I71" s="28">
        <f t="shared" si="4"/>
        <v>0.67162652386222021</v>
      </c>
    </row>
    <row r="72" spans="2:9" x14ac:dyDescent="0.2">
      <c r="B72" s="72">
        <v>145</v>
      </c>
      <c r="C72" s="14">
        <f t="shared" si="2"/>
        <v>0.1</v>
      </c>
      <c r="D72" s="15">
        <f t="shared" si="2"/>
        <v>0</v>
      </c>
      <c r="E72" s="34">
        <f t="shared" si="3"/>
        <v>0.1</v>
      </c>
      <c r="F72" s="16" t="s">
        <v>55</v>
      </c>
      <c r="G72" s="38">
        <v>0.1</v>
      </c>
      <c r="H72" s="39">
        <v>0.74701458253902309</v>
      </c>
      <c r="I72" s="28">
        <f t="shared" si="4"/>
        <v>0.64701458253902311</v>
      </c>
    </row>
    <row r="73" spans="2:9" x14ac:dyDescent="0.2">
      <c r="B73" s="72">
        <v>437</v>
      </c>
      <c r="C73" s="14">
        <f t="shared" si="2"/>
        <v>0.1</v>
      </c>
      <c r="D73" s="15">
        <f t="shared" si="2"/>
        <v>0</v>
      </c>
      <c r="E73" s="34">
        <f t="shared" si="3"/>
        <v>0.1</v>
      </c>
      <c r="F73" s="16" t="s">
        <v>55</v>
      </c>
      <c r="G73" s="38">
        <v>0.1</v>
      </c>
      <c r="H73" s="39">
        <v>0.74701458253902309</v>
      </c>
      <c r="I73" s="28">
        <f t="shared" si="4"/>
        <v>0.64701458253902311</v>
      </c>
    </row>
    <row r="74" spans="2:9" x14ac:dyDescent="0.2">
      <c r="B74" s="72">
        <v>569</v>
      </c>
      <c r="C74" s="14">
        <f t="shared" si="2"/>
        <v>0.1</v>
      </c>
      <c r="D74" s="15">
        <f t="shared" si="2"/>
        <v>0</v>
      </c>
      <c r="E74" s="34">
        <f t="shared" si="3"/>
        <v>0.1</v>
      </c>
      <c r="F74" s="16" t="s">
        <v>55</v>
      </c>
      <c r="G74" s="38">
        <v>0.1</v>
      </c>
      <c r="H74" s="40">
        <v>0.74701458253902309</v>
      </c>
      <c r="I74" s="28">
        <f t="shared" si="4"/>
        <v>0.64701458253902311</v>
      </c>
    </row>
    <row r="75" spans="2:9" x14ac:dyDescent="0.2">
      <c r="B75" s="72">
        <v>612</v>
      </c>
      <c r="C75" s="14">
        <f t="shared" si="2"/>
        <v>0.1</v>
      </c>
      <c r="D75" s="15">
        <f t="shared" si="2"/>
        <v>0</v>
      </c>
      <c r="E75" s="34">
        <f t="shared" si="3"/>
        <v>0.1</v>
      </c>
      <c r="F75" s="16" t="s">
        <v>55</v>
      </c>
      <c r="G75" s="38">
        <v>0.1</v>
      </c>
      <c r="H75" s="40">
        <v>0.74701458253902309</v>
      </c>
      <c r="I75" s="28">
        <f t="shared" si="4"/>
        <v>0.64701458253902311</v>
      </c>
    </row>
    <row r="76" spans="2:9" x14ac:dyDescent="0.2">
      <c r="B76" s="72">
        <v>669</v>
      </c>
      <c r="C76" s="14">
        <f t="shared" si="2"/>
        <v>0.1</v>
      </c>
      <c r="D76" s="15">
        <f t="shared" si="2"/>
        <v>0</v>
      </c>
      <c r="E76" s="34">
        <f t="shared" si="3"/>
        <v>0.1</v>
      </c>
      <c r="F76" s="16" t="s">
        <v>55</v>
      </c>
      <c r="G76" s="38">
        <v>0.1</v>
      </c>
      <c r="H76" s="40">
        <v>0.74701458253902309</v>
      </c>
      <c r="I76" s="28">
        <f t="shared" si="4"/>
        <v>0.64701458253902311</v>
      </c>
    </row>
    <row r="77" spans="2:9" x14ac:dyDescent="0.2">
      <c r="B77" s="72">
        <v>717</v>
      </c>
      <c r="C77" s="14">
        <f t="shared" si="2"/>
        <v>0.1</v>
      </c>
      <c r="D77" s="15">
        <f t="shared" si="2"/>
        <v>0</v>
      </c>
      <c r="E77" s="34">
        <f t="shared" si="3"/>
        <v>0.1</v>
      </c>
      <c r="F77" s="16" t="s">
        <v>55</v>
      </c>
      <c r="G77" s="38">
        <v>0.1</v>
      </c>
      <c r="H77" s="40">
        <v>0.74701458253902309</v>
      </c>
      <c r="I77" s="28">
        <f t="shared" si="4"/>
        <v>0.64701458253902311</v>
      </c>
    </row>
    <row r="78" spans="2:9" x14ac:dyDescent="0.2">
      <c r="B78" s="72">
        <v>127</v>
      </c>
      <c r="C78" s="14">
        <f t="shared" si="2"/>
        <v>1.0000000000000005E-2</v>
      </c>
      <c r="D78" s="15">
        <f t="shared" si="2"/>
        <v>0.09</v>
      </c>
      <c r="E78" s="34">
        <f t="shared" si="3"/>
        <v>0.1</v>
      </c>
      <c r="F78" s="16" t="s">
        <v>55</v>
      </c>
      <c r="G78" s="38">
        <v>0.1</v>
      </c>
      <c r="H78" s="40">
        <v>0.74534670539767267</v>
      </c>
      <c r="I78" s="28">
        <f t="shared" si="4"/>
        <v>0.64534670539767269</v>
      </c>
    </row>
    <row r="79" spans="2:9" x14ac:dyDescent="0.2">
      <c r="B79" s="72">
        <v>144</v>
      </c>
      <c r="C79" s="14">
        <f t="shared" si="2"/>
        <v>4.0000000000000008E-2</v>
      </c>
      <c r="D79" s="15">
        <f t="shared" si="2"/>
        <v>0.06</v>
      </c>
      <c r="E79" s="34">
        <f t="shared" si="3"/>
        <v>0.1</v>
      </c>
      <c r="F79" s="16" t="s">
        <v>55</v>
      </c>
      <c r="G79" s="38">
        <v>0.1</v>
      </c>
      <c r="H79" s="40">
        <v>0.73139701236625076</v>
      </c>
      <c r="I79" s="28">
        <f t="shared" si="4"/>
        <v>0.63139701236625079</v>
      </c>
    </row>
    <row r="80" spans="2:9" x14ac:dyDescent="0.2">
      <c r="B80" s="72">
        <v>436</v>
      </c>
      <c r="C80" s="14">
        <f t="shared" si="2"/>
        <v>0.1</v>
      </c>
      <c r="D80" s="15">
        <f t="shared" si="2"/>
        <v>0</v>
      </c>
      <c r="E80" s="34">
        <f t="shared" si="3"/>
        <v>0.1</v>
      </c>
      <c r="F80" s="16" t="s">
        <v>55</v>
      </c>
      <c r="G80" s="38">
        <v>0.1</v>
      </c>
      <c r="H80" s="40">
        <v>0.73139701236625076</v>
      </c>
      <c r="I80" s="28">
        <f t="shared" si="4"/>
        <v>0.63139701236625079</v>
      </c>
    </row>
    <row r="81" spans="2:13" x14ac:dyDescent="0.2">
      <c r="B81" s="72">
        <v>568</v>
      </c>
      <c r="C81" s="14">
        <f t="shared" si="2"/>
        <v>7.0000000000000007E-2</v>
      </c>
      <c r="D81" s="15">
        <f t="shared" si="2"/>
        <v>0.03</v>
      </c>
      <c r="E81" s="34">
        <f t="shared" si="3"/>
        <v>0.1</v>
      </c>
      <c r="F81" s="16" t="s">
        <v>55</v>
      </c>
      <c r="G81" s="38">
        <v>0.1</v>
      </c>
      <c r="H81" s="40">
        <v>0.73139701236625076</v>
      </c>
      <c r="I81" s="28">
        <f t="shared" si="4"/>
        <v>0.63139701236625079</v>
      </c>
    </row>
    <row r="82" spans="2:13" x14ac:dyDescent="0.2">
      <c r="B82" s="72">
        <v>611</v>
      </c>
      <c r="C82" s="14">
        <f t="shared" si="2"/>
        <v>1.0000000000000004E-2</v>
      </c>
      <c r="D82" s="15">
        <f t="shared" si="2"/>
        <v>0.09</v>
      </c>
      <c r="E82" s="34">
        <f t="shared" si="3"/>
        <v>0.1</v>
      </c>
      <c r="F82" s="16" t="s">
        <v>55</v>
      </c>
      <c r="G82" s="38">
        <v>0.1</v>
      </c>
      <c r="H82" s="40">
        <v>0.73139701236625076</v>
      </c>
      <c r="I82" s="28">
        <f t="shared" si="4"/>
        <v>0.63139701236625079</v>
      </c>
    </row>
    <row r="83" spans="2:13" ht="16" thickBot="1" x14ac:dyDescent="0.25">
      <c r="B83" s="73">
        <v>668</v>
      </c>
      <c r="C83" s="35">
        <f t="shared" si="2"/>
        <v>1.0000000000000044E-2</v>
      </c>
      <c r="D83" s="36">
        <f t="shared" si="2"/>
        <v>0.09</v>
      </c>
      <c r="E83" s="37">
        <f t="shared" si="3"/>
        <v>0.10000000000000003</v>
      </c>
      <c r="F83" s="16" t="s">
        <v>55</v>
      </c>
      <c r="G83" s="41">
        <v>0.1</v>
      </c>
      <c r="H83" s="42">
        <v>0.73139701236625076</v>
      </c>
      <c r="I83" s="31">
        <f t="shared" si="4"/>
        <v>0.63139701236625079</v>
      </c>
    </row>
    <row r="86" spans="2:13" x14ac:dyDescent="0.2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2:13" ht="16" x14ac:dyDescent="0.2">
      <c r="B87" s="9"/>
      <c r="C87" s="9"/>
      <c r="D87" s="9"/>
      <c r="E87" s="9"/>
      <c r="F87" s="6"/>
      <c r="G87" s="9"/>
      <c r="H87" s="9"/>
      <c r="I87" s="9"/>
      <c r="J87" s="6"/>
      <c r="K87" s="9"/>
      <c r="L87" s="9"/>
      <c r="M87" s="6"/>
    </row>
    <row r="88" spans="2:13" ht="30" customHeight="1" x14ac:dyDescent="0.2">
      <c r="B88" s="5"/>
      <c r="C88" s="5"/>
      <c r="D88" s="5"/>
      <c r="E88" s="5"/>
      <c r="F88" s="6"/>
      <c r="G88" s="5"/>
      <c r="H88" s="5"/>
      <c r="I88" s="5"/>
      <c r="J88" s="6"/>
      <c r="K88" s="5"/>
      <c r="L88" s="5"/>
      <c r="M88" s="6"/>
    </row>
    <row r="89" spans="2:13" x14ac:dyDescent="0.2">
      <c r="B89" s="10"/>
      <c r="C89" s="10"/>
      <c r="D89" s="10"/>
      <c r="E89" s="10"/>
      <c r="F89" s="6"/>
      <c r="G89" s="10"/>
      <c r="H89" s="10"/>
      <c r="I89" s="10"/>
      <c r="J89" s="6"/>
      <c r="K89" s="10"/>
      <c r="L89" s="10"/>
      <c r="M89" s="6"/>
    </row>
    <row r="90" spans="2:13" x14ac:dyDescent="0.2">
      <c r="B90" s="10"/>
      <c r="C90" s="10"/>
      <c r="D90" s="10"/>
      <c r="E90" s="10"/>
      <c r="F90" s="6"/>
      <c r="G90" s="10"/>
      <c r="H90" s="10"/>
      <c r="I90" s="10"/>
      <c r="J90" s="6"/>
      <c r="K90" s="10"/>
      <c r="L90" s="10"/>
      <c r="M90" s="6"/>
    </row>
    <row r="91" spans="2:13" x14ac:dyDescent="0.2">
      <c r="B91" s="10"/>
      <c r="C91" s="10"/>
      <c r="D91" s="10"/>
      <c r="E91" s="10"/>
      <c r="F91" s="6"/>
      <c r="G91" s="10"/>
      <c r="H91" s="10"/>
      <c r="I91" s="10"/>
      <c r="J91" s="6"/>
      <c r="K91" s="6"/>
      <c r="L91" s="6"/>
      <c r="M91" s="6"/>
    </row>
    <row r="92" spans="2:13" ht="17.5" customHeight="1" x14ac:dyDescent="0.2">
      <c r="B92" s="10"/>
      <c r="C92" s="10"/>
      <c r="D92" s="10"/>
      <c r="E92" s="10"/>
      <c r="F92" s="6"/>
      <c r="G92" s="10"/>
      <c r="H92" s="10"/>
      <c r="I92" s="10"/>
      <c r="J92" s="6"/>
      <c r="K92" s="6"/>
      <c r="L92" s="6"/>
      <c r="M92" s="6"/>
    </row>
    <row r="93" spans="2:13" ht="17" customHeight="1" x14ac:dyDescent="0.2">
      <c r="B93" s="10"/>
      <c r="C93" s="10"/>
      <c r="D93" s="10"/>
      <c r="E93" s="10"/>
      <c r="F93" s="6"/>
      <c r="G93" s="10"/>
      <c r="H93" s="10"/>
      <c r="I93" s="10"/>
      <c r="J93" s="6"/>
      <c r="K93" s="6"/>
      <c r="L93" s="6"/>
      <c r="M93" s="6"/>
    </row>
    <row r="94" spans="2:13" ht="17.5" customHeight="1" x14ac:dyDescent="0.2">
      <c r="B94" s="10"/>
      <c r="C94" s="10"/>
      <c r="D94" s="10"/>
      <c r="E94" s="10"/>
      <c r="F94" s="6"/>
      <c r="G94" s="10"/>
      <c r="H94" s="10"/>
      <c r="I94" s="10"/>
      <c r="J94" s="6"/>
      <c r="K94" s="6"/>
      <c r="L94" s="6"/>
      <c r="M94" s="6"/>
    </row>
    <row r="95" spans="2:13" ht="17.5" customHeight="1" x14ac:dyDescent="0.2">
      <c r="B95" s="10"/>
      <c r="C95" s="10"/>
      <c r="D95" s="10"/>
      <c r="E95" s="10"/>
      <c r="F95" s="6"/>
      <c r="G95" s="10"/>
      <c r="H95" s="10"/>
      <c r="I95" s="10"/>
      <c r="J95" s="6"/>
      <c r="K95" s="6"/>
      <c r="L95" s="6"/>
      <c r="M95" s="6"/>
    </row>
    <row r="96" spans="2:13" x14ac:dyDescent="0.2">
      <c r="B96" s="10"/>
      <c r="C96" s="10"/>
      <c r="D96" s="10"/>
      <c r="E96" s="10"/>
      <c r="F96" s="6"/>
      <c r="G96" s="6"/>
      <c r="H96" s="6"/>
      <c r="I96" s="6"/>
      <c r="J96" s="6"/>
      <c r="K96" s="6"/>
      <c r="L96" s="6"/>
      <c r="M96" s="6"/>
    </row>
    <row r="97" spans="2:13" x14ac:dyDescent="0.2">
      <c r="B97" s="10"/>
      <c r="C97" s="10"/>
      <c r="D97" s="10"/>
      <c r="E97" s="10"/>
      <c r="F97" s="6"/>
      <c r="G97" s="6"/>
      <c r="H97" s="6"/>
      <c r="I97" s="6"/>
      <c r="J97" s="6"/>
      <c r="K97" s="6"/>
      <c r="L97" s="6"/>
      <c r="M97" s="6"/>
    </row>
    <row r="98" spans="2:13" ht="17" customHeight="1" x14ac:dyDescent="0.2">
      <c r="B98" s="10"/>
      <c r="C98" s="10"/>
      <c r="D98" s="10"/>
      <c r="E98" s="10"/>
      <c r="F98" s="6"/>
      <c r="G98" s="6"/>
      <c r="H98" s="6"/>
      <c r="I98" s="6"/>
      <c r="J98" s="6"/>
      <c r="K98" s="6"/>
      <c r="L98" s="6"/>
      <c r="M98" s="6"/>
    </row>
    <row r="99" spans="2:13" x14ac:dyDescent="0.2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</row>
    <row r="100" spans="2:13" x14ac:dyDescent="0.2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</row>
    <row r="101" spans="2:13" x14ac:dyDescent="0.2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</row>
  </sheetData>
  <mergeCells count="7">
    <mergeCell ref="B87:E87"/>
    <mergeCell ref="G87:I87"/>
    <mergeCell ref="K87:L87"/>
    <mergeCell ref="B2:F2"/>
    <mergeCell ref="B28:E28"/>
    <mergeCell ref="B62:E62"/>
    <mergeCell ref="B4:F4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1554-4142-634E-ACAE-BF343B59A6F5}">
  <dimension ref="B2:M101"/>
  <sheetViews>
    <sheetView zoomScale="107" zoomScaleNormal="107" workbookViewId="0">
      <selection activeCell="E83" sqref="E83"/>
    </sheetView>
  </sheetViews>
  <sheetFormatPr baseColWidth="10" defaultColWidth="8.83203125" defaultRowHeight="15" x14ac:dyDescent="0.2"/>
  <cols>
    <col min="1" max="1" width="8.83203125" style="3"/>
    <col min="2" max="2" width="21.1640625" style="3" customWidth="1"/>
    <col min="3" max="3" width="18.83203125" style="3" customWidth="1"/>
    <col min="4" max="4" width="15.5" style="3" customWidth="1"/>
    <col min="5" max="5" width="25.83203125" style="3" customWidth="1"/>
    <col min="6" max="6" width="23.1640625" style="3" customWidth="1"/>
    <col min="7" max="7" width="15.33203125" style="3" customWidth="1"/>
    <col min="8" max="8" width="15" style="3" customWidth="1"/>
    <col min="9" max="9" width="24.5" style="3" customWidth="1"/>
    <col min="10" max="11" width="8.83203125" style="3"/>
    <col min="12" max="12" width="19" style="3" customWidth="1"/>
    <col min="13" max="16384" width="8.83203125" style="3"/>
  </cols>
  <sheetData>
    <row r="2" spans="2:9" ht="21" x14ac:dyDescent="0.2">
      <c r="B2" s="68" t="s">
        <v>67</v>
      </c>
      <c r="C2" s="68"/>
      <c r="D2" s="68"/>
      <c r="E2" s="68"/>
      <c r="F2" s="68"/>
      <c r="G2" s="16"/>
      <c r="H2" s="16"/>
      <c r="I2" s="16"/>
    </row>
    <row r="3" spans="2:9" ht="16" thickBot="1" x14ac:dyDescent="0.25">
      <c r="B3" s="16"/>
      <c r="C3" s="16"/>
      <c r="D3" s="16"/>
      <c r="E3" s="16"/>
      <c r="F3" s="16"/>
      <c r="G3" s="16"/>
      <c r="H3" s="16"/>
      <c r="I3" s="16"/>
    </row>
    <row r="4" spans="2:9" x14ac:dyDescent="0.2">
      <c r="B4" s="45" t="s">
        <v>30</v>
      </c>
      <c r="C4" s="46"/>
      <c r="D4" s="46"/>
      <c r="E4" s="46"/>
      <c r="F4" s="47"/>
      <c r="G4" s="16"/>
      <c r="H4" s="16"/>
      <c r="I4" s="16"/>
    </row>
    <row r="5" spans="2:9" ht="32" x14ac:dyDescent="0.2">
      <c r="B5" s="48" t="s">
        <v>31</v>
      </c>
      <c r="C5" s="49" t="s">
        <v>32</v>
      </c>
      <c r="D5" s="49" t="s">
        <v>33</v>
      </c>
      <c r="E5" s="49" t="s">
        <v>63</v>
      </c>
      <c r="F5" s="50" t="s">
        <v>64</v>
      </c>
      <c r="G5" s="16"/>
      <c r="H5" s="16"/>
      <c r="I5" s="16"/>
    </row>
    <row r="6" spans="2:9" ht="16" x14ac:dyDescent="0.2">
      <c r="B6" s="72">
        <v>234</v>
      </c>
      <c r="C6" s="26">
        <f>Data!R2</f>
        <v>0.05</v>
      </c>
      <c r="D6" s="12">
        <f>Data!P2</f>
        <v>0.03</v>
      </c>
      <c r="E6" s="27">
        <f>Data!Q2</f>
        <v>1</v>
      </c>
      <c r="F6" s="28">
        <f>D6*E6</f>
        <v>0.03</v>
      </c>
      <c r="G6" s="16"/>
      <c r="H6" s="16"/>
      <c r="I6" s="16"/>
    </row>
    <row r="7" spans="2:9" ht="16" x14ac:dyDescent="0.2">
      <c r="B7" s="72">
        <v>101</v>
      </c>
      <c r="C7" s="26">
        <f>Data!R3</f>
        <v>7.0000000000000007E-2</v>
      </c>
      <c r="D7" s="12">
        <f>Data!P3</f>
        <v>0.02</v>
      </c>
      <c r="E7" s="27">
        <f>Data!Q3</f>
        <v>1.3</v>
      </c>
      <c r="F7" s="28">
        <f>D7*E7</f>
        <v>2.6000000000000002E-2</v>
      </c>
      <c r="G7" s="16"/>
      <c r="H7" s="16"/>
      <c r="I7" s="16"/>
    </row>
    <row r="8" spans="2:9" ht="16" x14ac:dyDescent="0.2">
      <c r="B8" s="72">
        <v>126</v>
      </c>
      <c r="C8" s="26">
        <f>Data!R4</f>
        <v>7.0000000000000007E-2</v>
      </c>
      <c r="D8" s="12">
        <f>Data!P4</f>
        <v>0.02</v>
      </c>
      <c r="E8" s="27">
        <f>Data!Q4</f>
        <v>1.3</v>
      </c>
      <c r="F8" s="28">
        <f t="shared" ref="F8:F25" si="0">D8*E8</f>
        <v>2.6000000000000002E-2</v>
      </c>
      <c r="G8" s="16"/>
      <c r="H8" s="16"/>
      <c r="I8" s="16"/>
    </row>
    <row r="9" spans="2:9" ht="16" x14ac:dyDescent="0.2">
      <c r="B9" s="72">
        <v>56</v>
      </c>
      <c r="C9" s="26">
        <f>Data!R5</f>
        <v>7.0000000000000007E-2</v>
      </c>
      <c r="D9" s="12">
        <f>Data!P5</f>
        <v>0.02</v>
      </c>
      <c r="E9" s="27">
        <f>Data!Q5</f>
        <v>0.6</v>
      </c>
      <c r="F9" s="28">
        <f t="shared" si="0"/>
        <v>1.2E-2</v>
      </c>
      <c r="G9" s="16"/>
      <c r="H9" s="16"/>
      <c r="I9" s="16"/>
    </row>
    <row r="10" spans="2:9" ht="16" x14ac:dyDescent="0.2">
      <c r="B10" s="72">
        <v>337</v>
      </c>
      <c r="C10" s="26">
        <f>Data!R6</f>
        <v>7.0000000000000007E-2</v>
      </c>
      <c r="D10" s="12">
        <f>Data!P6</f>
        <v>0.03</v>
      </c>
      <c r="E10" s="27">
        <f>Data!Q6</f>
        <v>1.2</v>
      </c>
      <c r="F10" s="28">
        <f t="shared" si="0"/>
        <v>3.5999999999999997E-2</v>
      </c>
      <c r="G10" s="16"/>
      <c r="H10" s="16"/>
      <c r="I10" s="16"/>
    </row>
    <row r="11" spans="2:9" ht="16" x14ac:dyDescent="0.2">
      <c r="B11" s="72">
        <v>376</v>
      </c>
      <c r="C11" s="26">
        <f>Data!R7</f>
        <v>0.05</v>
      </c>
      <c r="D11" s="12">
        <f>Data!P7</f>
        <v>0.01</v>
      </c>
      <c r="E11" s="27">
        <f>Data!Q7</f>
        <v>0.9</v>
      </c>
      <c r="F11" s="28">
        <f t="shared" si="0"/>
        <v>9.0000000000000011E-3</v>
      </c>
      <c r="G11" s="16"/>
      <c r="H11" s="16"/>
      <c r="I11" s="16"/>
    </row>
    <row r="12" spans="2:9" ht="16" x14ac:dyDescent="0.2">
      <c r="B12" s="72">
        <v>354</v>
      </c>
      <c r="C12" s="26">
        <f>Data!R8</f>
        <v>0.05</v>
      </c>
      <c r="D12" s="12">
        <f>Data!P8</f>
        <v>0.01</v>
      </c>
      <c r="E12" s="27">
        <f>Data!Q8</f>
        <v>0.9</v>
      </c>
      <c r="F12" s="28">
        <f t="shared" si="0"/>
        <v>9.0000000000000011E-3</v>
      </c>
      <c r="G12" s="16"/>
      <c r="H12" s="16"/>
      <c r="I12" s="16"/>
    </row>
    <row r="13" spans="2:9" ht="16" x14ac:dyDescent="0.2">
      <c r="B13" s="72">
        <v>111</v>
      </c>
      <c r="C13" s="26">
        <f>Data!R9</f>
        <v>7.0000000000000007E-2</v>
      </c>
      <c r="D13" s="12">
        <f>Data!P9</f>
        <v>0.01</v>
      </c>
      <c r="E13" s="27">
        <f>Data!Q9</f>
        <v>1.3</v>
      </c>
      <c r="F13" s="28">
        <f t="shared" si="0"/>
        <v>1.3000000000000001E-2</v>
      </c>
      <c r="G13" s="16"/>
      <c r="H13" s="16"/>
      <c r="I13" s="16"/>
    </row>
    <row r="14" spans="2:9" ht="16" x14ac:dyDescent="0.2">
      <c r="B14" s="72">
        <v>145</v>
      </c>
      <c r="C14" s="26">
        <f>Data!R10</f>
        <v>0.05</v>
      </c>
      <c r="D14" s="12">
        <f>Data!P10</f>
        <v>0.01</v>
      </c>
      <c r="E14" s="27">
        <f>Data!Q10</f>
        <v>1.3</v>
      </c>
      <c r="F14" s="28">
        <f t="shared" si="0"/>
        <v>1.3000000000000001E-2</v>
      </c>
      <c r="G14" s="16"/>
      <c r="H14" s="16"/>
      <c r="I14" s="16"/>
    </row>
    <row r="15" spans="2:9" ht="16" x14ac:dyDescent="0.2">
      <c r="B15" s="72">
        <v>437</v>
      </c>
      <c r="C15" s="26">
        <f>Data!R11</f>
        <v>0.05</v>
      </c>
      <c r="D15" s="12">
        <f>Data!P11</f>
        <v>0.01</v>
      </c>
      <c r="E15" s="27">
        <f>Data!Q11</f>
        <v>1.3</v>
      </c>
      <c r="F15" s="28">
        <f t="shared" si="0"/>
        <v>1.3000000000000001E-2</v>
      </c>
      <c r="G15" s="16"/>
      <c r="H15" s="16"/>
      <c r="I15" s="16"/>
    </row>
    <row r="16" spans="2:9" ht="16" x14ac:dyDescent="0.2">
      <c r="B16" s="72">
        <v>569</v>
      </c>
      <c r="C16" s="26">
        <f>Data!R12</f>
        <v>0.05</v>
      </c>
      <c r="D16" s="12">
        <f>Data!P12</f>
        <v>0.01</v>
      </c>
      <c r="E16" s="27">
        <f>Data!Q12</f>
        <v>1.3</v>
      </c>
      <c r="F16" s="28">
        <f t="shared" si="0"/>
        <v>1.3000000000000001E-2</v>
      </c>
      <c r="G16" s="16"/>
      <c r="H16" s="16"/>
      <c r="I16" s="16"/>
    </row>
    <row r="17" spans="2:9" ht="16" x14ac:dyDescent="0.2">
      <c r="B17" s="72">
        <v>612</v>
      </c>
      <c r="C17" s="26">
        <f>Data!R13</f>
        <v>0.05</v>
      </c>
      <c r="D17" s="12">
        <f>Data!P13</f>
        <v>0.01</v>
      </c>
      <c r="E17" s="27">
        <f>Data!Q13</f>
        <v>1.3</v>
      </c>
      <c r="F17" s="28">
        <f t="shared" si="0"/>
        <v>1.3000000000000001E-2</v>
      </c>
      <c r="G17" s="16"/>
      <c r="H17" s="16"/>
      <c r="I17" s="16"/>
    </row>
    <row r="18" spans="2:9" ht="16" x14ac:dyDescent="0.2">
      <c r="B18" s="72">
        <v>669</v>
      </c>
      <c r="C18" s="26">
        <f>Data!R14</f>
        <v>0.05</v>
      </c>
      <c r="D18" s="12">
        <f>Data!P14</f>
        <v>0.01</v>
      </c>
      <c r="E18" s="27">
        <f>Data!Q14</f>
        <v>1.3</v>
      </c>
      <c r="F18" s="28">
        <f t="shared" si="0"/>
        <v>1.3000000000000001E-2</v>
      </c>
      <c r="G18" s="16"/>
      <c r="H18" s="16"/>
      <c r="I18" s="16"/>
    </row>
    <row r="19" spans="2:9" ht="16" x14ac:dyDescent="0.2">
      <c r="B19" s="72">
        <v>717</v>
      </c>
      <c r="C19" s="26">
        <f>Data!R15</f>
        <v>0.05</v>
      </c>
      <c r="D19" s="12">
        <f>Data!P15</f>
        <v>0.01</v>
      </c>
      <c r="E19" s="27">
        <f>Data!Q15</f>
        <v>1.3</v>
      </c>
      <c r="F19" s="28">
        <f t="shared" si="0"/>
        <v>1.3000000000000001E-2</v>
      </c>
      <c r="G19" s="16"/>
      <c r="H19" s="16"/>
      <c r="I19" s="16"/>
    </row>
    <row r="20" spans="2:9" ht="16" x14ac:dyDescent="0.2">
      <c r="B20" s="72">
        <v>127</v>
      </c>
      <c r="C20" s="26">
        <f>Data!R16</f>
        <v>0.05</v>
      </c>
      <c r="D20" s="12">
        <f>Data!P16</f>
        <v>0.03</v>
      </c>
      <c r="E20" s="27">
        <f>Data!Q16</f>
        <v>1</v>
      </c>
      <c r="F20" s="28">
        <f t="shared" si="0"/>
        <v>0.03</v>
      </c>
      <c r="G20" s="16"/>
      <c r="H20" s="16"/>
      <c r="I20" s="16"/>
    </row>
    <row r="21" spans="2:9" ht="16" x14ac:dyDescent="0.2">
      <c r="B21" s="72">
        <v>144</v>
      </c>
      <c r="C21" s="26">
        <f>Data!R17</f>
        <v>7.0000000000000007E-2</v>
      </c>
      <c r="D21" s="12">
        <f>Data!P17</f>
        <v>0.03</v>
      </c>
      <c r="E21" s="27">
        <f>Data!Q17</f>
        <v>1</v>
      </c>
      <c r="F21" s="28">
        <f t="shared" si="0"/>
        <v>0.03</v>
      </c>
      <c r="G21" s="16"/>
      <c r="H21" s="16"/>
      <c r="I21" s="16"/>
    </row>
    <row r="22" spans="2:9" ht="16" x14ac:dyDescent="0.2">
      <c r="B22" s="72">
        <v>436</v>
      </c>
      <c r="C22" s="26">
        <f>Data!R18</f>
        <v>7.0000000000000007E-2</v>
      </c>
      <c r="D22" s="12">
        <f>Data!P18</f>
        <v>0.03</v>
      </c>
      <c r="E22" s="27">
        <f>Data!Q18</f>
        <v>1</v>
      </c>
      <c r="F22" s="28">
        <f t="shared" si="0"/>
        <v>0.03</v>
      </c>
      <c r="G22" s="16"/>
      <c r="H22" s="16"/>
      <c r="I22" s="16"/>
    </row>
    <row r="23" spans="2:9" ht="16" x14ac:dyDescent="0.2">
      <c r="B23" s="72">
        <v>568</v>
      </c>
      <c r="C23" s="26">
        <f>Data!R19</f>
        <v>7.0000000000000007E-2</v>
      </c>
      <c r="D23" s="12">
        <f>Data!P19</f>
        <v>0.03</v>
      </c>
      <c r="E23" s="27">
        <f>Data!Q19</f>
        <v>1</v>
      </c>
      <c r="F23" s="28">
        <f t="shared" si="0"/>
        <v>0.03</v>
      </c>
      <c r="G23" s="16"/>
      <c r="H23" s="16"/>
      <c r="I23" s="16"/>
    </row>
    <row r="24" spans="2:9" ht="16" x14ac:dyDescent="0.2">
      <c r="B24" s="72">
        <v>611</v>
      </c>
      <c r="C24" s="26">
        <f>Data!R20</f>
        <v>7.0000000000000007E-2</v>
      </c>
      <c r="D24" s="12">
        <f>Data!P20</f>
        <v>0.03</v>
      </c>
      <c r="E24" s="27">
        <f>Data!Q20</f>
        <v>1</v>
      </c>
      <c r="F24" s="28">
        <f t="shared" si="0"/>
        <v>0.03</v>
      </c>
      <c r="G24" s="16"/>
      <c r="H24" s="16"/>
      <c r="I24" s="16"/>
    </row>
    <row r="25" spans="2:9" ht="17" thickBot="1" x14ac:dyDescent="0.25">
      <c r="B25" s="73">
        <v>668</v>
      </c>
      <c r="C25" s="71">
        <f>Data!R21</f>
        <v>7.0000000000000007E-2</v>
      </c>
      <c r="D25" s="29">
        <f>Data!P21</f>
        <v>0.03</v>
      </c>
      <c r="E25" s="30">
        <f>Data!Q21</f>
        <v>1</v>
      </c>
      <c r="F25" s="31">
        <f t="shared" si="0"/>
        <v>0.03</v>
      </c>
      <c r="G25" s="16"/>
      <c r="H25" s="16"/>
      <c r="I25" s="16"/>
    </row>
    <row r="26" spans="2:9" x14ac:dyDescent="0.2">
      <c r="B26" s="16"/>
      <c r="C26" s="16"/>
      <c r="D26" s="16"/>
      <c r="E26" s="16"/>
      <c r="F26" s="16"/>
      <c r="G26" s="16"/>
      <c r="H26" s="16"/>
      <c r="I26" s="16"/>
    </row>
    <row r="27" spans="2:9" ht="16" thickBot="1" x14ac:dyDescent="0.25">
      <c r="B27" s="16"/>
      <c r="C27" s="16"/>
      <c r="D27" s="16"/>
      <c r="E27" s="16"/>
      <c r="F27" s="16"/>
      <c r="G27" s="16"/>
      <c r="H27" s="16"/>
      <c r="I27" s="16"/>
    </row>
    <row r="28" spans="2:9" ht="16" x14ac:dyDescent="0.2">
      <c r="B28" s="51" t="s">
        <v>34</v>
      </c>
      <c r="C28" s="52"/>
      <c r="D28" s="52"/>
      <c r="E28" s="53"/>
      <c r="F28" s="16"/>
      <c r="G28" s="16"/>
      <c r="H28" s="16"/>
      <c r="I28" s="16"/>
    </row>
    <row r="29" spans="2:9" ht="42" customHeight="1" x14ac:dyDescent="0.2">
      <c r="B29" s="54" t="s">
        <v>31</v>
      </c>
      <c r="C29" s="55" t="s">
        <v>35</v>
      </c>
      <c r="D29" s="56" t="s">
        <v>36</v>
      </c>
      <c r="E29" s="50" t="s">
        <v>64</v>
      </c>
      <c r="F29" s="7"/>
      <c r="G29" s="17"/>
      <c r="H29" s="17"/>
      <c r="I29" s="17"/>
    </row>
    <row r="30" spans="2:9" x14ac:dyDescent="0.2">
      <c r="B30" s="72">
        <v>234</v>
      </c>
      <c r="C30" s="11">
        <v>0</v>
      </c>
      <c r="D30" s="12">
        <v>0</v>
      </c>
      <c r="E30" s="28">
        <f>D30*E6*D6</f>
        <v>0</v>
      </c>
      <c r="F30" s="12"/>
      <c r="G30" s="16"/>
      <c r="H30" s="16"/>
      <c r="I30" s="16"/>
    </row>
    <row r="31" spans="2:9" x14ac:dyDescent="0.2">
      <c r="B31" s="72">
        <v>101</v>
      </c>
      <c r="C31" s="11">
        <v>0</v>
      </c>
      <c r="D31" s="12">
        <v>0</v>
      </c>
      <c r="E31" s="28">
        <f t="shared" ref="E31:E49" si="1">D31*E7*D7</f>
        <v>0</v>
      </c>
      <c r="F31" s="12"/>
      <c r="G31" s="16"/>
      <c r="H31" s="16"/>
      <c r="I31" s="16"/>
    </row>
    <row r="32" spans="2:9" x14ac:dyDescent="0.2">
      <c r="B32" s="72">
        <v>126</v>
      </c>
      <c r="C32" s="11">
        <v>0</v>
      </c>
      <c r="D32" s="12">
        <v>0</v>
      </c>
      <c r="E32" s="28">
        <f t="shared" si="1"/>
        <v>0</v>
      </c>
      <c r="F32" s="13"/>
      <c r="G32" s="16"/>
      <c r="H32" s="16"/>
      <c r="I32" s="16"/>
    </row>
    <row r="33" spans="2:9" x14ac:dyDescent="0.2">
      <c r="B33" s="72">
        <v>56</v>
      </c>
      <c r="C33" s="11">
        <v>0</v>
      </c>
      <c r="D33" s="12">
        <v>0</v>
      </c>
      <c r="E33" s="28">
        <f t="shared" si="1"/>
        <v>0</v>
      </c>
      <c r="F33" s="16"/>
      <c r="G33" s="16"/>
      <c r="H33" s="16"/>
      <c r="I33" s="16"/>
    </row>
    <row r="34" spans="2:9" x14ac:dyDescent="0.2">
      <c r="B34" s="72">
        <v>337</v>
      </c>
      <c r="C34" s="11">
        <v>0</v>
      </c>
      <c r="D34" s="12">
        <v>0</v>
      </c>
      <c r="E34" s="28">
        <f t="shared" si="1"/>
        <v>0</v>
      </c>
      <c r="F34" s="16"/>
      <c r="G34" s="16"/>
      <c r="H34" s="16"/>
      <c r="I34" s="16"/>
    </row>
    <row r="35" spans="2:9" x14ac:dyDescent="0.2">
      <c r="B35" s="72">
        <v>376</v>
      </c>
      <c r="C35" s="11">
        <v>8</v>
      </c>
      <c r="D35" s="12">
        <v>0</v>
      </c>
      <c r="E35" s="28">
        <f t="shared" si="1"/>
        <v>0</v>
      </c>
      <c r="F35" s="16"/>
      <c r="G35" s="16"/>
      <c r="H35" s="16"/>
      <c r="I35" s="16"/>
    </row>
    <row r="36" spans="2:9" x14ac:dyDescent="0.2">
      <c r="B36" s="72">
        <v>354</v>
      </c>
      <c r="C36" s="11">
        <v>8</v>
      </c>
      <c r="D36" s="12">
        <v>0</v>
      </c>
      <c r="E36" s="28">
        <f t="shared" si="1"/>
        <v>0</v>
      </c>
      <c r="F36" s="16"/>
      <c r="G36" s="16"/>
      <c r="H36" s="16"/>
      <c r="I36" s="16"/>
    </row>
    <row r="37" spans="2:9" x14ac:dyDescent="0.2">
      <c r="B37" s="72">
        <v>111</v>
      </c>
      <c r="C37" s="11">
        <v>0</v>
      </c>
      <c r="D37" s="12">
        <v>0</v>
      </c>
      <c r="E37" s="28">
        <f t="shared" si="1"/>
        <v>0</v>
      </c>
      <c r="F37" s="16"/>
      <c r="G37" s="16"/>
      <c r="H37" s="16"/>
      <c r="I37" s="16"/>
    </row>
    <row r="38" spans="2:9" x14ac:dyDescent="0.2">
      <c r="B38" s="72">
        <v>145</v>
      </c>
      <c r="C38" s="11">
        <v>8</v>
      </c>
      <c r="D38" s="12">
        <v>0</v>
      </c>
      <c r="E38" s="28">
        <f t="shared" si="1"/>
        <v>0</v>
      </c>
      <c r="F38" s="16"/>
      <c r="G38" s="16"/>
      <c r="H38" s="16"/>
      <c r="I38" s="16"/>
    </row>
    <row r="39" spans="2:9" x14ac:dyDescent="0.2">
      <c r="B39" s="72">
        <v>437</v>
      </c>
      <c r="C39" s="11">
        <v>8</v>
      </c>
      <c r="D39" s="12">
        <v>0</v>
      </c>
      <c r="E39" s="28">
        <f t="shared" si="1"/>
        <v>0</v>
      </c>
      <c r="F39" s="16"/>
      <c r="G39" s="16"/>
      <c r="H39" s="16"/>
      <c r="I39" s="16"/>
    </row>
    <row r="40" spans="2:9" x14ac:dyDescent="0.2">
      <c r="B40" s="72">
        <v>569</v>
      </c>
      <c r="C40" s="11">
        <v>8</v>
      </c>
      <c r="D40" s="12">
        <v>0</v>
      </c>
      <c r="E40" s="28">
        <f t="shared" si="1"/>
        <v>0</v>
      </c>
      <c r="F40" s="16"/>
      <c r="G40" s="16"/>
      <c r="H40" s="16"/>
      <c r="I40" s="16"/>
    </row>
    <row r="41" spans="2:9" x14ac:dyDescent="0.2">
      <c r="B41" s="72">
        <v>612</v>
      </c>
      <c r="C41" s="11">
        <v>8</v>
      </c>
      <c r="D41" s="12">
        <v>0</v>
      </c>
      <c r="E41" s="28">
        <f t="shared" si="1"/>
        <v>0</v>
      </c>
      <c r="F41" s="16"/>
      <c r="G41" s="16"/>
      <c r="H41" s="16"/>
      <c r="I41" s="16"/>
    </row>
    <row r="42" spans="2:9" x14ac:dyDescent="0.2">
      <c r="B42" s="72">
        <v>669</v>
      </c>
      <c r="C42" s="11">
        <v>2</v>
      </c>
      <c r="D42" s="12">
        <v>0</v>
      </c>
      <c r="E42" s="28">
        <f t="shared" si="1"/>
        <v>0</v>
      </c>
      <c r="F42" s="16"/>
      <c r="G42" s="16"/>
      <c r="H42" s="16"/>
      <c r="I42" s="16"/>
    </row>
    <row r="43" spans="2:9" x14ac:dyDescent="0.2">
      <c r="B43" s="72">
        <v>717</v>
      </c>
      <c r="C43" s="11">
        <v>0</v>
      </c>
      <c r="D43" s="12">
        <v>0</v>
      </c>
      <c r="E43" s="28">
        <f t="shared" si="1"/>
        <v>0</v>
      </c>
      <c r="F43" s="16"/>
      <c r="G43" s="16"/>
      <c r="H43" s="16"/>
      <c r="I43" s="16"/>
    </row>
    <row r="44" spans="2:9" x14ac:dyDescent="0.2">
      <c r="B44" s="72">
        <v>127</v>
      </c>
      <c r="C44" s="11">
        <v>0</v>
      </c>
      <c r="D44" s="12">
        <v>0</v>
      </c>
      <c r="E44" s="28">
        <f t="shared" si="1"/>
        <v>0</v>
      </c>
      <c r="F44" s="16"/>
      <c r="G44" s="16"/>
      <c r="H44" s="16"/>
      <c r="I44" s="16"/>
    </row>
    <row r="45" spans="2:9" x14ac:dyDescent="0.2">
      <c r="B45" s="72">
        <v>144</v>
      </c>
      <c r="C45" s="11">
        <v>0</v>
      </c>
      <c r="D45" s="12">
        <v>0</v>
      </c>
      <c r="E45" s="28">
        <f t="shared" si="1"/>
        <v>0</v>
      </c>
      <c r="F45" s="16"/>
      <c r="G45" s="16"/>
      <c r="H45" s="16"/>
      <c r="I45" s="16"/>
    </row>
    <row r="46" spans="2:9" x14ac:dyDescent="0.2">
      <c r="B46" s="72">
        <v>436</v>
      </c>
      <c r="C46" s="11">
        <v>0</v>
      </c>
      <c r="D46" s="12">
        <v>0</v>
      </c>
      <c r="E46" s="28">
        <f t="shared" si="1"/>
        <v>0</v>
      </c>
      <c r="F46" s="16"/>
      <c r="G46" s="16"/>
      <c r="H46" s="16"/>
      <c r="I46" s="16"/>
    </row>
    <row r="47" spans="2:9" x14ac:dyDescent="0.2">
      <c r="B47" s="72">
        <v>568</v>
      </c>
      <c r="C47" s="11">
        <v>0</v>
      </c>
      <c r="D47" s="12">
        <v>0</v>
      </c>
      <c r="E47" s="28">
        <f t="shared" si="1"/>
        <v>0</v>
      </c>
      <c r="F47" s="16"/>
      <c r="G47" s="16"/>
      <c r="H47" s="16"/>
      <c r="I47" s="16"/>
    </row>
    <row r="48" spans="2:9" x14ac:dyDescent="0.2">
      <c r="B48" s="72">
        <v>611</v>
      </c>
      <c r="C48" s="11">
        <v>0</v>
      </c>
      <c r="D48" s="12">
        <v>1.6666666666666643</v>
      </c>
      <c r="E48" s="28">
        <f t="shared" si="1"/>
        <v>4.9999999999999926E-2</v>
      </c>
      <c r="F48" s="16"/>
      <c r="G48" s="16"/>
      <c r="H48" s="16"/>
      <c r="I48" s="16"/>
    </row>
    <row r="49" spans="2:9" ht="16" thickBot="1" x14ac:dyDescent="0.25">
      <c r="B49" s="73">
        <v>668</v>
      </c>
      <c r="C49" s="32">
        <v>0</v>
      </c>
      <c r="D49" s="29">
        <v>13.333333333333336</v>
      </c>
      <c r="E49" s="31">
        <f t="shared" si="1"/>
        <v>0.40000000000000008</v>
      </c>
      <c r="F49" s="16"/>
      <c r="G49" s="16"/>
      <c r="H49" s="16"/>
      <c r="I49" s="16"/>
    </row>
    <row r="50" spans="2:9" x14ac:dyDescent="0.2">
      <c r="B50" s="10"/>
      <c r="C50" s="4"/>
      <c r="D50" s="16"/>
      <c r="E50" s="16"/>
      <c r="F50" s="16"/>
      <c r="G50" s="16"/>
      <c r="H50" s="16"/>
      <c r="I50" s="16"/>
    </row>
    <row r="51" spans="2:9" ht="16.5" customHeight="1" x14ac:dyDescent="0.2">
      <c r="B51" s="16"/>
      <c r="C51" s="18"/>
      <c r="D51" s="16"/>
      <c r="E51" s="16"/>
      <c r="F51" s="16"/>
      <c r="G51" s="16"/>
      <c r="H51" s="16"/>
      <c r="I51" s="16"/>
    </row>
    <row r="52" spans="2:9" ht="16" thickBot="1" x14ac:dyDescent="0.25">
      <c r="B52" s="16"/>
      <c r="C52" s="16"/>
      <c r="D52" s="16"/>
      <c r="E52" s="16"/>
      <c r="F52" s="16"/>
      <c r="G52" s="16"/>
      <c r="H52" s="16"/>
      <c r="I52" s="16"/>
    </row>
    <row r="53" spans="2:9" ht="16" x14ac:dyDescent="0.2">
      <c r="B53" s="57" t="s">
        <v>40</v>
      </c>
      <c r="C53" s="58" t="s">
        <v>41</v>
      </c>
      <c r="D53" s="16"/>
      <c r="E53" s="16"/>
      <c r="F53" s="16"/>
      <c r="G53" s="16"/>
      <c r="H53" s="16"/>
      <c r="I53" s="16"/>
    </row>
    <row r="54" spans="2:9" ht="16" thickBot="1" x14ac:dyDescent="0.25">
      <c r="B54" s="66" t="s">
        <v>42</v>
      </c>
      <c r="C54" s="67">
        <f>SUM(C30:C49)+SUM(E30:E49)</f>
        <v>50.45</v>
      </c>
      <c r="D54" s="16"/>
      <c r="E54" s="16"/>
      <c r="F54" s="16"/>
      <c r="G54" s="16"/>
      <c r="H54" s="16"/>
      <c r="I54" s="16"/>
    </row>
    <row r="55" spans="2:9" x14ac:dyDescent="0.2">
      <c r="B55" s="16"/>
      <c r="C55" s="16"/>
      <c r="D55" s="16"/>
      <c r="E55" s="16"/>
      <c r="F55" s="16"/>
      <c r="G55" s="16"/>
      <c r="H55" s="16"/>
      <c r="I55" s="16"/>
    </row>
    <row r="56" spans="2:9" x14ac:dyDescent="0.2">
      <c r="B56" s="16"/>
      <c r="C56" s="16"/>
      <c r="D56" s="16"/>
      <c r="E56" s="16"/>
      <c r="F56" s="16"/>
      <c r="G56" s="16"/>
      <c r="H56" s="16"/>
      <c r="I56" s="16"/>
    </row>
    <row r="57" spans="2:9" ht="16" x14ac:dyDescent="0.2">
      <c r="B57" s="19" t="s">
        <v>43</v>
      </c>
      <c r="C57" s="16"/>
      <c r="D57" s="16"/>
      <c r="E57" s="16"/>
      <c r="F57" s="16"/>
      <c r="G57" s="16"/>
      <c r="H57" s="16"/>
      <c r="I57" s="16"/>
    </row>
    <row r="58" spans="2:9" x14ac:dyDescent="0.2">
      <c r="B58" s="8" t="s">
        <v>44</v>
      </c>
      <c r="C58" s="16"/>
      <c r="D58" s="16"/>
      <c r="E58" s="8" t="s">
        <v>45</v>
      </c>
      <c r="F58" s="8" t="s">
        <v>46</v>
      </c>
      <c r="G58" s="16"/>
      <c r="H58" s="16"/>
      <c r="I58" s="16"/>
    </row>
    <row r="59" spans="2:9" x14ac:dyDescent="0.2">
      <c r="B59" s="20" t="s">
        <v>47</v>
      </c>
      <c r="C59" s="21">
        <f>SUM(D30:D49)</f>
        <v>15</v>
      </c>
      <c r="D59" s="16" t="s">
        <v>48</v>
      </c>
      <c r="E59" s="16">
        <v>15</v>
      </c>
      <c r="F59" s="22">
        <f>E59-C59</f>
        <v>0</v>
      </c>
      <c r="G59" s="16" t="s">
        <v>66</v>
      </c>
      <c r="H59" s="16"/>
      <c r="I59" s="16"/>
    </row>
    <row r="60" spans="2:9" x14ac:dyDescent="0.2">
      <c r="B60" s="23" t="s">
        <v>49</v>
      </c>
      <c r="C60" s="24">
        <f>SUM(C30:C49)</f>
        <v>50</v>
      </c>
      <c r="D60" s="16" t="s">
        <v>48</v>
      </c>
      <c r="E60" s="16">
        <v>50</v>
      </c>
      <c r="F60" s="22">
        <f>E60-C60</f>
        <v>0</v>
      </c>
      <c r="G60" s="25" t="s">
        <v>66</v>
      </c>
      <c r="H60" s="16"/>
      <c r="I60" s="16"/>
    </row>
    <row r="61" spans="2:9" x14ac:dyDescent="0.2">
      <c r="B61" s="16"/>
      <c r="C61" s="16"/>
      <c r="D61" s="16"/>
      <c r="E61" s="16"/>
      <c r="F61" s="16"/>
      <c r="G61" s="16"/>
      <c r="H61" s="16"/>
      <c r="I61" s="16"/>
    </row>
    <row r="62" spans="2:9" ht="16" thickBot="1" x14ac:dyDescent="0.25">
      <c r="B62" s="33" t="s">
        <v>50</v>
      </c>
      <c r="C62" s="33"/>
      <c r="D62" s="33"/>
      <c r="E62" s="33"/>
      <c r="F62" s="16"/>
      <c r="G62" s="16"/>
      <c r="H62" s="16"/>
      <c r="I62" s="16"/>
    </row>
    <row r="63" spans="2:9" ht="16" x14ac:dyDescent="0.2">
      <c r="B63" s="59" t="s">
        <v>31</v>
      </c>
      <c r="C63" s="60" t="s">
        <v>51</v>
      </c>
      <c r="D63" s="60" t="s">
        <v>52</v>
      </c>
      <c r="E63" s="61" t="s">
        <v>53</v>
      </c>
      <c r="F63" s="8"/>
      <c r="G63" s="59" t="s">
        <v>54</v>
      </c>
      <c r="H63" s="65" t="s">
        <v>61</v>
      </c>
      <c r="I63" s="58" t="s">
        <v>62</v>
      </c>
    </row>
    <row r="64" spans="2:9" x14ac:dyDescent="0.2">
      <c r="B64" s="74">
        <v>234</v>
      </c>
      <c r="C64" s="14">
        <f>C30*C6</f>
        <v>0</v>
      </c>
      <c r="D64" s="15">
        <f>D30*D6</f>
        <v>0</v>
      </c>
      <c r="E64" s="34">
        <f>SUM(C64:D64)</f>
        <v>0</v>
      </c>
      <c r="F64" s="16" t="s">
        <v>55</v>
      </c>
      <c r="G64" s="38">
        <v>0.4</v>
      </c>
      <c r="H64" s="39" cm="1">
        <f t="array" ref="H64:H83">Data!O2:O21</f>
        <v>0.89676022805322031</v>
      </c>
      <c r="I64" s="28">
        <f>H64-G64</f>
        <v>0.49676022805322029</v>
      </c>
    </row>
    <row r="65" spans="2:9" x14ac:dyDescent="0.2">
      <c r="B65" s="74">
        <v>101</v>
      </c>
      <c r="C65" s="14">
        <f t="shared" ref="C65:D80" si="2">C31*C7</f>
        <v>0</v>
      </c>
      <c r="D65" s="15">
        <f t="shared" si="2"/>
        <v>0</v>
      </c>
      <c r="E65" s="34">
        <f t="shared" ref="E65:E83" si="3">SUM(C65:D65)</f>
        <v>0</v>
      </c>
      <c r="F65" s="16" t="s">
        <v>55</v>
      </c>
      <c r="G65" s="38">
        <v>0.4</v>
      </c>
      <c r="H65" s="39">
        <v>0.8669211199397262</v>
      </c>
      <c r="I65" s="28">
        <f t="shared" ref="I65:I83" si="4">H65-G65</f>
        <v>0.46692111993972618</v>
      </c>
    </row>
    <row r="66" spans="2:9" x14ac:dyDescent="0.2">
      <c r="B66" s="74">
        <v>126</v>
      </c>
      <c r="C66" s="14">
        <f t="shared" si="2"/>
        <v>0</v>
      </c>
      <c r="D66" s="15">
        <f t="shared" si="2"/>
        <v>0</v>
      </c>
      <c r="E66" s="34">
        <f t="shared" si="3"/>
        <v>0</v>
      </c>
      <c r="F66" s="16" t="s">
        <v>55</v>
      </c>
      <c r="G66" s="38">
        <v>0.4</v>
      </c>
      <c r="H66" s="39">
        <v>0.86346265489598895</v>
      </c>
      <c r="I66" s="28">
        <f t="shared" si="4"/>
        <v>0.46346265489598892</v>
      </c>
    </row>
    <row r="67" spans="2:9" x14ac:dyDescent="0.2">
      <c r="B67" s="74">
        <v>56</v>
      </c>
      <c r="C67" s="14">
        <f t="shared" si="2"/>
        <v>0</v>
      </c>
      <c r="D67" s="15">
        <f t="shared" si="2"/>
        <v>0</v>
      </c>
      <c r="E67" s="34">
        <f t="shared" si="3"/>
        <v>0</v>
      </c>
      <c r="F67" s="16" t="s">
        <v>55</v>
      </c>
      <c r="G67" s="38">
        <v>0.4</v>
      </c>
      <c r="H67" s="39">
        <v>0.82054187135508228</v>
      </c>
      <c r="I67" s="28">
        <f t="shared" si="4"/>
        <v>0.42054187135508225</v>
      </c>
    </row>
    <row r="68" spans="2:9" x14ac:dyDescent="0.2">
      <c r="B68" s="74">
        <v>337</v>
      </c>
      <c r="C68" s="14">
        <f t="shared" si="2"/>
        <v>0</v>
      </c>
      <c r="D68" s="15">
        <f t="shared" si="2"/>
        <v>0</v>
      </c>
      <c r="E68" s="34">
        <f t="shared" si="3"/>
        <v>0</v>
      </c>
      <c r="F68" s="16" t="s">
        <v>55</v>
      </c>
      <c r="G68" s="38">
        <v>0.4</v>
      </c>
      <c r="H68" s="39">
        <v>0.79054317390879014</v>
      </c>
      <c r="I68" s="28">
        <f t="shared" si="4"/>
        <v>0.39054317390879012</v>
      </c>
    </row>
    <row r="69" spans="2:9" x14ac:dyDescent="0.2">
      <c r="B69" s="74">
        <v>376</v>
      </c>
      <c r="C69" s="14">
        <f t="shared" si="2"/>
        <v>0.4</v>
      </c>
      <c r="D69" s="15">
        <f t="shared" si="2"/>
        <v>0</v>
      </c>
      <c r="E69" s="83">
        <f t="shared" si="3"/>
        <v>0.4</v>
      </c>
      <c r="F69" s="16" t="s">
        <v>55</v>
      </c>
      <c r="G69" s="38">
        <v>0.4</v>
      </c>
      <c r="H69" s="39">
        <v>0.7861023673291524</v>
      </c>
      <c r="I69" s="28">
        <f t="shared" si="4"/>
        <v>0.38610236732915237</v>
      </c>
    </row>
    <row r="70" spans="2:9" x14ac:dyDescent="0.2">
      <c r="B70" s="74">
        <v>354</v>
      </c>
      <c r="C70" s="14">
        <f t="shared" si="2"/>
        <v>0.4</v>
      </c>
      <c r="D70" s="15">
        <f t="shared" si="2"/>
        <v>0</v>
      </c>
      <c r="E70" s="83">
        <f t="shared" si="3"/>
        <v>0.4</v>
      </c>
      <c r="F70" s="16" t="s">
        <v>55</v>
      </c>
      <c r="G70" s="38">
        <v>0.4</v>
      </c>
      <c r="H70" s="39">
        <v>0.77794420679527143</v>
      </c>
      <c r="I70" s="28">
        <f t="shared" si="4"/>
        <v>0.37794420679527141</v>
      </c>
    </row>
    <row r="71" spans="2:9" x14ac:dyDescent="0.2">
      <c r="B71" s="74">
        <v>111</v>
      </c>
      <c r="C71" s="14">
        <f t="shared" si="2"/>
        <v>0</v>
      </c>
      <c r="D71" s="15">
        <f t="shared" si="2"/>
        <v>0</v>
      </c>
      <c r="E71" s="34">
        <f t="shared" si="3"/>
        <v>0</v>
      </c>
      <c r="F71" s="16" t="s">
        <v>55</v>
      </c>
      <c r="G71" s="38">
        <v>0.4</v>
      </c>
      <c r="H71" s="39">
        <v>0.77162652386222019</v>
      </c>
      <c r="I71" s="28">
        <f t="shared" si="4"/>
        <v>0.37162652386222017</v>
      </c>
    </row>
    <row r="72" spans="2:9" x14ac:dyDescent="0.2">
      <c r="B72" s="74">
        <v>145</v>
      </c>
      <c r="C72" s="14">
        <f t="shared" si="2"/>
        <v>0.4</v>
      </c>
      <c r="D72" s="15">
        <f t="shared" si="2"/>
        <v>0</v>
      </c>
      <c r="E72" s="83">
        <f t="shared" si="3"/>
        <v>0.4</v>
      </c>
      <c r="F72" s="16" t="s">
        <v>55</v>
      </c>
      <c r="G72" s="38">
        <v>0.4</v>
      </c>
      <c r="H72" s="39">
        <v>0.74701458253902309</v>
      </c>
      <c r="I72" s="28">
        <f t="shared" si="4"/>
        <v>0.34701458253902306</v>
      </c>
    </row>
    <row r="73" spans="2:9" x14ac:dyDescent="0.2">
      <c r="B73" s="74">
        <v>437</v>
      </c>
      <c r="C73" s="14">
        <f t="shared" si="2"/>
        <v>0.4</v>
      </c>
      <c r="D73" s="15">
        <f t="shared" si="2"/>
        <v>0</v>
      </c>
      <c r="E73" s="83">
        <f t="shared" si="3"/>
        <v>0.4</v>
      </c>
      <c r="F73" s="16" t="s">
        <v>55</v>
      </c>
      <c r="G73" s="38">
        <v>0.4</v>
      </c>
      <c r="H73" s="39">
        <v>0.74701458253902309</v>
      </c>
      <c r="I73" s="28">
        <f t="shared" si="4"/>
        <v>0.34701458253902306</v>
      </c>
    </row>
    <row r="74" spans="2:9" x14ac:dyDescent="0.2">
      <c r="B74" s="74">
        <v>569</v>
      </c>
      <c r="C74" s="14">
        <f t="shared" si="2"/>
        <v>0.4</v>
      </c>
      <c r="D74" s="15">
        <f t="shared" si="2"/>
        <v>0</v>
      </c>
      <c r="E74" s="83">
        <f t="shared" si="3"/>
        <v>0.4</v>
      </c>
      <c r="F74" s="16" t="s">
        <v>55</v>
      </c>
      <c r="G74" s="38">
        <v>0.4</v>
      </c>
      <c r="H74" s="40">
        <v>0.74701458253902309</v>
      </c>
      <c r="I74" s="28">
        <f t="shared" si="4"/>
        <v>0.34701458253902306</v>
      </c>
    </row>
    <row r="75" spans="2:9" x14ac:dyDescent="0.2">
      <c r="B75" s="74">
        <v>612</v>
      </c>
      <c r="C75" s="14">
        <f t="shared" si="2"/>
        <v>0.4</v>
      </c>
      <c r="D75" s="15">
        <f t="shared" si="2"/>
        <v>0</v>
      </c>
      <c r="E75" s="83">
        <f t="shared" si="3"/>
        <v>0.4</v>
      </c>
      <c r="F75" s="16" t="s">
        <v>55</v>
      </c>
      <c r="G75" s="38">
        <v>0.4</v>
      </c>
      <c r="H75" s="40">
        <v>0.74701458253902309</v>
      </c>
      <c r="I75" s="28">
        <f t="shared" si="4"/>
        <v>0.34701458253902306</v>
      </c>
    </row>
    <row r="76" spans="2:9" x14ac:dyDescent="0.2">
      <c r="B76" s="74">
        <v>669</v>
      </c>
      <c r="C76" s="14">
        <f t="shared" si="2"/>
        <v>0.1</v>
      </c>
      <c r="D76" s="15">
        <f t="shared" si="2"/>
        <v>0</v>
      </c>
      <c r="E76" s="34">
        <f t="shared" si="3"/>
        <v>0.1</v>
      </c>
      <c r="F76" s="16" t="s">
        <v>55</v>
      </c>
      <c r="G76" s="38">
        <v>0.4</v>
      </c>
      <c r="H76" s="40">
        <v>0.74701458253902309</v>
      </c>
      <c r="I76" s="28">
        <f t="shared" si="4"/>
        <v>0.34701458253902306</v>
      </c>
    </row>
    <row r="77" spans="2:9" x14ac:dyDescent="0.2">
      <c r="B77" s="74">
        <v>717</v>
      </c>
      <c r="C77" s="14">
        <f t="shared" si="2"/>
        <v>0</v>
      </c>
      <c r="D77" s="15">
        <f t="shared" si="2"/>
        <v>0</v>
      </c>
      <c r="E77" s="34">
        <f t="shared" si="3"/>
        <v>0</v>
      </c>
      <c r="F77" s="16" t="s">
        <v>55</v>
      </c>
      <c r="G77" s="38">
        <v>0.4</v>
      </c>
      <c r="H77" s="40">
        <v>0.74701458253902309</v>
      </c>
      <c r="I77" s="28">
        <f t="shared" si="4"/>
        <v>0.34701458253902306</v>
      </c>
    </row>
    <row r="78" spans="2:9" x14ac:dyDescent="0.2">
      <c r="B78" s="74">
        <v>127</v>
      </c>
      <c r="C78" s="14">
        <f t="shared" si="2"/>
        <v>0</v>
      </c>
      <c r="D78" s="15">
        <f t="shared" si="2"/>
        <v>0</v>
      </c>
      <c r="E78" s="34">
        <f t="shared" si="3"/>
        <v>0</v>
      </c>
      <c r="F78" s="16" t="s">
        <v>55</v>
      </c>
      <c r="G78" s="38">
        <v>0.4</v>
      </c>
      <c r="H78" s="40">
        <v>0.74534670539767267</v>
      </c>
      <c r="I78" s="28">
        <f t="shared" si="4"/>
        <v>0.34534670539767265</v>
      </c>
    </row>
    <row r="79" spans="2:9" x14ac:dyDescent="0.2">
      <c r="B79" s="74">
        <v>144</v>
      </c>
      <c r="C79" s="14">
        <f t="shared" si="2"/>
        <v>0</v>
      </c>
      <c r="D79" s="15">
        <f t="shared" si="2"/>
        <v>0</v>
      </c>
      <c r="E79" s="34">
        <f t="shared" si="3"/>
        <v>0</v>
      </c>
      <c r="F79" s="16" t="s">
        <v>55</v>
      </c>
      <c r="G79" s="38">
        <v>0.4</v>
      </c>
      <c r="H79" s="40">
        <v>0.73139701236625076</v>
      </c>
      <c r="I79" s="28">
        <f t="shared" si="4"/>
        <v>0.33139701236625074</v>
      </c>
    </row>
    <row r="80" spans="2:9" x14ac:dyDescent="0.2">
      <c r="B80" s="74">
        <v>436</v>
      </c>
      <c r="C80" s="14">
        <f t="shared" si="2"/>
        <v>0</v>
      </c>
      <c r="D80" s="15">
        <f t="shared" si="2"/>
        <v>0</v>
      </c>
      <c r="E80" s="34">
        <f t="shared" si="3"/>
        <v>0</v>
      </c>
      <c r="F80" s="16" t="s">
        <v>55</v>
      </c>
      <c r="G80" s="38">
        <v>0.4</v>
      </c>
      <c r="H80" s="40">
        <v>0.73139701236625076</v>
      </c>
      <c r="I80" s="28">
        <f t="shared" si="4"/>
        <v>0.33139701236625074</v>
      </c>
    </row>
    <row r="81" spans="2:13" x14ac:dyDescent="0.2">
      <c r="B81" s="74">
        <v>568</v>
      </c>
      <c r="C81" s="14">
        <f t="shared" ref="C81:D83" si="5">C47*C23</f>
        <v>0</v>
      </c>
      <c r="D81" s="15">
        <f t="shared" si="5"/>
        <v>0</v>
      </c>
      <c r="E81" s="34">
        <f t="shared" si="3"/>
        <v>0</v>
      </c>
      <c r="F81" s="16" t="s">
        <v>55</v>
      </c>
      <c r="G81" s="38">
        <v>0.4</v>
      </c>
      <c r="H81" s="40">
        <v>0.73139701236625076</v>
      </c>
      <c r="I81" s="28">
        <f t="shared" si="4"/>
        <v>0.33139701236625074</v>
      </c>
    </row>
    <row r="82" spans="2:13" x14ac:dyDescent="0.2">
      <c r="B82" s="74">
        <v>611</v>
      </c>
      <c r="C82" s="14">
        <f t="shared" si="5"/>
        <v>0</v>
      </c>
      <c r="D82" s="15">
        <f t="shared" si="5"/>
        <v>4.9999999999999926E-2</v>
      </c>
      <c r="E82" s="34">
        <f t="shared" si="3"/>
        <v>4.9999999999999926E-2</v>
      </c>
      <c r="F82" s="16" t="s">
        <v>55</v>
      </c>
      <c r="G82" s="38">
        <v>0.4</v>
      </c>
      <c r="H82" s="40">
        <v>0.73139701236625076</v>
      </c>
      <c r="I82" s="28">
        <f t="shared" si="4"/>
        <v>0.33139701236625074</v>
      </c>
    </row>
    <row r="83" spans="2:13" ht="16" thickBot="1" x14ac:dyDescent="0.25">
      <c r="B83" s="75">
        <v>668</v>
      </c>
      <c r="C83" s="35">
        <f t="shared" si="5"/>
        <v>0</v>
      </c>
      <c r="D83" s="36">
        <f t="shared" si="5"/>
        <v>0.40000000000000008</v>
      </c>
      <c r="E83" s="84">
        <f t="shared" si="3"/>
        <v>0.40000000000000008</v>
      </c>
      <c r="F83" s="16" t="s">
        <v>55</v>
      </c>
      <c r="G83" s="41">
        <v>0.4</v>
      </c>
      <c r="H83" s="42">
        <v>0.73139701236625076</v>
      </c>
      <c r="I83" s="31">
        <f t="shared" si="4"/>
        <v>0.33139701236625074</v>
      </c>
    </row>
    <row r="86" spans="2:13" x14ac:dyDescent="0.2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2:13" ht="16" x14ac:dyDescent="0.2">
      <c r="B87" s="9"/>
      <c r="C87" s="9"/>
      <c r="D87" s="9"/>
      <c r="E87" s="9"/>
      <c r="F87" s="6"/>
      <c r="G87" s="9"/>
      <c r="H87" s="9"/>
      <c r="I87" s="9"/>
      <c r="J87" s="6"/>
      <c r="K87" s="9"/>
      <c r="L87" s="9"/>
      <c r="M87" s="6"/>
    </row>
    <row r="88" spans="2:13" ht="30" customHeight="1" x14ac:dyDescent="0.2">
      <c r="B88" s="5"/>
      <c r="C88" s="5"/>
      <c r="D88" s="5"/>
      <c r="E88" s="5"/>
      <c r="F88" s="6"/>
      <c r="G88" s="5"/>
      <c r="H88" s="5"/>
      <c r="I88" s="5"/>
      <c r="J88" s="6"/>
      <c r="K88" s="5"/>
      <c r="L88" s="5"/>
      <c r="M88" s="6"/>
    </row>
    <row r="89" spans="2:13" x14ac:dyDescent="0.2">
      <c r="B89" s="10"/>
      <c r="C89" s="10"/>
      <c r="D89" s="10"/>
      <c r="E89" s="10"/>
      <c r="F89" s="6"/>
      <c r="G89" s="10"/>
      <c r="H89" s="10"/>
      <c r="I89" s="10"/>
      <c r="J89" s="6"/>
      <c r="K89" s="10"/>
      <c r="L89" s="10"/>
      <c r="M89" s="6"/>
    </row>
    <row r="90" spans="2:13" x14ac:dyDescent="0.2">
      <c r="B90" s="10"/>
      <c r="C90" s="10"/>
      <c r="D90" s="10"/>
      <c r="E90" s="10"/>
      <c r="F90" s="6"/>
      <c r="G90" s="10"/>
      <c r="H90" s="10"/>
      <c r="I90" s="10"/>
      <c r="J90" s="6"/>
      <c r="K90" s="10"/>
      <c r="L90" s="10"/>
      <c r="M90" s="6"/>
    </row>
    <row r="91" spans="2:13" x14ac:dyDescent="0.2">
      <c r="B91" s="10"/>
      <c r="C91" s="10"/>
      <c r="D91" s="10"/>
      <c r="E91" s="10"/>
      <c r="F91" s="6"/>
      <c r="G91" s="10"/>
      <c r="H91" s="10"/>
      <c r="I91" s="10"/>
      <c r="J91" s="6"/>
      <c r="K91" s="6"/>
      <c r="L91" s="6"/>
      <c r="M91" s="6"/>
    </row>
    <row r="92" spans="2:13" ht="17.5" customHeight="1" x14ac:dyDescent="0.2">
      <c r="B92" s="10"/>
      <c r="C92" s="10"/>
      <c r="D92" s="10"/>
      <c r="E92" s="10"/>
      <c r="F92" s="6"/>
      <c r="G92" s="10"/>
      <c r="H92" s="10"/>
      <c r="I92" s="10"/>
      <c r="J92" s="6"/>
      <c r="K92" s="6"/>
      <c r="L92" s="6"/>
      <c r="M92" s="6"/>
    </row>
    <row r="93" spans="2:13" ht="17" customHeight="1" x14ac:dyDescent="0.2">
      <c r="B93" s="10"/>
      <c r="C93" s="10"/>
      <c r="D93" s="10"/>
      <c r="E93" s="10"/>
      <c r="F93" s="6"/>
      <c r="G93" s="10"/>
      <c r="H93" s="10"/>
      <c r="I93" s="10"/>
      <c r="J93" s="6"/>
      <c r="K93" s="6"/>
      <c r="L93" s="6"/>
      <c r="M93" s="6"/>
    </row>
    <row r="94" spans="2:13" ht="17.5" customHeight="1" x14ac:dyDescent="0.2">
      <c r="B94" s="10"/>
      <c r="C94" s="10"/>
      <c r="D94" s="10"/>
      <c r="E94" s="10"/>
      <c r="F94" s="6"/>
      <c r="G94" s="10"/>
      <c r="H94" s="10"/>
      <c r="I94" s="10"/>
      <c r="J94" s="6"/>
      <c r="K94" s="6"/>
      <c r="L94" s="6"/>
      <c r="M94" s="6"/>
    </row>
    <row r="95" spans="2:13" ht="17.5" customHeight="1" x14ac:dyDescent="0.2">
      <c r="B95" s="10"/>
      <c r="C95" s="10"/>
      <c r="D95" s="10"/>
      <c r="E95" s="10"/>
      <c r="F95" s="6"/>
      <c r="G95" s="10"/>
      <c r="H95" s="10"/>
      <c r="I95" s="10"/>
      <c r="J95" s="6"/>
      <c r="K95" s="6"/>
      <c r="L95" s="6"/>
      <c r="M95" s="6"/>
    </row>
    <row r="96" spans="2:13" x14ac:dyDescent="0.2">
      <c r="B96" s="10"/>
      <c r="C96" s="10"/>
      <c r="D96" s="10"/>
      <c r="E96" s="10"/>
      <c r="F96" s="6"/>
      <c r="G96" s="6"/>
      <c r="H96" s="6"/>
      <c r="I96" s="6"/>
      <c r="J96" s="6"/>
      <c r="K96" s="6"/>
      <c r="L96" s="6"/>
      <c r="M96" s="6"/>
    </row>
    <row r="97" spans="2:13" x14ac:dyDescent="0.2">
      <c r="B97" s="10"/>
      <c r="C97" s="10"/>
      <c r="D97" s="10"/>
      <c r="E97" s="10"/>
      <c r="F97" s="6"/>
      <c r="G97" s="6"/>
      <c r="H97" s="6"/>
      <c r="I97" s="6"/>
      <c r="J97" s="6"/>
      <c r="K97" s="6"/>
      <c r="L97" s="6"/>
      <c r="M97" s="6"/>
    </row>
    <row r="98" spans="2:13" ht="17" customHeight="1" x14ac:dyDescent="0.2">
      <c r="B98" s="10"/>
      <c r="C98" s="10"/>
      <c r="D98" s="10"/>
      <c r="E98" s="10"/>
      <c r="F98" s="6"/>
      <c r="G98" s="6"/>
      <c r="H98" s="6"/>
      <c r="I98" s="6"/>
      <c r="J98" s="6"/>
      <c r="K98" s="6"/>
      <c r="L98" s="6"/>
      <c r="M98" s="6"/>
    </row>
    <row r="99" spans="2:13" x14ac:dyDescent="0.2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</row>
    <row r="100" spans="2:13" x14ac:dyDescent="0.2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</row>
    <row r="101" spans="2:13" x14ac:dyDescent="0.2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</row>
  </sheetData>
  <mergeCells count="7">
    <mergeCell ref="K87:L87"/>
    <mergeCell ref="B4:F4"/>
    <mergeCell ref="B2:F2"/>
    <mergeCell ref="B28:E28"/>
    <mergeCell ref="B62:E62"/>
    <mergeCell ref="B87:E87"/>
    <mergeCell ref="G87:I87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10% Strategy</vt:lpstr>
      <vt:lpstr>40% Strategy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Hien Nguyen Thuy</cp:lastModifiedBy>
  <dcterms:created xsi:type="dcterms:W3CDTF">2026-01-18T08:43:48Z</dcterms:created>
  <dcterms:modified xsi:type="dcterms:W3CDTF">2026-01-18T19:29:25Z</dcterms:modified>
</cp:coreProperties>
</file>